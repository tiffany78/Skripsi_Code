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\code\"/>
    </mc:Choice>
  </mc:AlternateContent>
  <xr:revisionPtr revIDLastSave="0" documentId="13_ncr:1_{0D523794-C9CC-4F40-A445-EC1AF0BF2553}" xr6:coauthVersionLast="47" xr6:coauthVersionMax="47" xr10:uidLastSave="{00000000-0000-0000-0000-000000000000}"/>
  <bookViews>
    <workbookView xWindow="-110" yWindow="-110" windowWidth="19420" windowHeight="11500" firstSheet="1" activeTab="6" xr2:uid="{B1A10019-3A04-41A9-9660-5132F8E918DF}"/>
  </bookViews>
  <sheets>
    <sheet name="depth" sheetId="3" r:id="rId1"/>
    <sheet name="seaweed" sheetId="1" r:id="rId2"/>
    <sheet name="reef" sheetId="2" r:id="rId3"/>
    <sheet name="nori10_freq2" sheetId="4" r:id="rId4"/>
    <sheet name="nori35_freq2" sheetId="5" r:id="rId5"/>
    <sheet name="reef10_freq" sheetId="6" r:id="rId6"/>
    <sheet name="reef35_freq" sheetId="7" r:id="rId7"/>
  </sheets>
  <definedNames>
    <definedName name="_xlnm._FilterDatabase" localSheetId="3" hidden="1">nori10_freq2!$A$1:$E$34</definedName>
    <definedName name="_xlnm._FilterDatabase" localSheetId="5" hidden="1">reef10_freq!$A$1:$E$162</definedName>
    <definedName name="_xlnm._FilterDatabase" localSheetId="6" hidden="1">reef35_freq!$A$1:$E$113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7" l="1"/>
  <c r="G3" i="7" s="1"/>
  <c r="F4" i="7"/>
  <c r="G4" i="7" s="1"/>
  <c r="F5" i="7"/>
  <c r="G5" i="7" s="1"/>
  <c r="F6" i="7"/>
  <c r="G6" i="7" s="1"/>
  <c r="F7" i="7"/>
  <c r="G7" i="7" s="1"/>
  <c r="F8" i="7"/>
  <c r="G8" i="7" s="1"/>
  <c r="F9" i="7"/>
  <c r="G9" i="7" s="1"/>
  <c r="F10" i="7"/>
  <c r="G10" i="7" s="1"/>
  <c r="F11" i="7"/>
  <c r="G11" i="7" s="1"/>
  <c r="F12" i="7"/>
  <c r="G12" i="7" s="1"/>
  <c r="F13" i="7"/>
  <c r="G13" i="7" s="1"/>
  <c r="F14" i="7"/>
  <c r="G14" i="7" s="1"/>
  <c r="F15" i="7"/>
  <c r="G15" i="7" s="1"/>
  <c r="F16" i="7"/>
  <c r="G16" i="7" s="1"/>
  <c r="F17" i="7"/>
  <c r="G17" i="7" s="1"/>
  <c r="F18" i="7"/>
  <c r="G18" i="7" s="1"/>
  <c r="F19" i="7"/>
  <c r="G19" i="7" s="1"/>
  <c r="F20" i="7"/>
  <c r="G20" i="7" s="1"/>
  <c r="F21" i="7"/>
  <c r="G21" i="7" s="1"/>
  <c r="F22" i="7"/>
  <c r="G22" i="7" s="1"/>
  <c r="F23" i="7"/>
  <c r="G23" i="7" s="1"/>
  <c r="F24" i="7"/>
  <c r="G24" i="7" s="1"/>
  <c r="F25" i="7"/>
  <c r="G25" i="7" s="1"/>
  <c r="F26" i="7"/>
  <c r="G26" i="7" s="1"/>
  <c r="F27" i="7"/>
  <c r="G27" i="7" s="1"/>
  <c r="F28" i="7"/>
  <c r="G28" i="7" s="1"/>
  <c r="F29" i="7"/>
  <c r="G29" i="7" s="1"/>
  <c r="F30" i="7"/>
  <c r="G30" i="7" s="1"/>
  <c r="F31" i="7"/>
  <c r="G31" i="7" s="1"/>
  <c r="F32" i="7"/>
  <c r="G32" i="7" s="1"/>
  <c r="F33" i="7"/>
  <c r="G33" i="7" s="1"/>
  <c r="F34" i="7"/>
  <c r="G34" i="7" s="1"/>
  <c r="F35" i="7"/>
  <c r="G35" i="7" s="1"/>
  <c r="F36" i="7"/>
  <c r="G36" i="7" s="1"/>
  <c r="F37" i="7"/>
  <c r="G37" i="7" s="1"/>
  <c r="F38" i="7"/>
  <c r="G38" i="7" s="1"/>
  <c r="F39" i="7"/>
  <c r="G39" i="7" s="1"/>
  <c r="F40" i="7"/>
  <c r="G40" i="7" s="1"/>
  <c r="F41" i="7"/>
  <c r="G41" i="7" s="1"/>
  <c r="F42" i="7"/>
  <c r="G42" i="7" s="1"/>
  <c r="F43" i="7"/>
  <c r="G43" i="7" s="1"/>
  <c r="F44" i="7"/>
  <c r="G44" i="7" s="1"/>
  <c r="F45" i="7"/>
  <c r="G45" i="7" s="1"/>
  <c r="F46" i="7"/>
  <c r="G46" i="7" s="1"/>
  <c r="F47" i="7"/>
  <c r="G47" i="7" s="1"/>
  <c r="F48" i="7"/>
  <c r="G48" i="7" s="1"/>
  <c r="F49" i="7"/>
  <c r="G49" i="7" s="1"/>
  <c r="F50" i="7"/>
  <c r="G50" i="7" s="1"/>
  <c r="F51" i="7"/>
  <c r="G51" i="7" s="1"/>
  <c r="F52" i="7"/>
  <c r="G52" i="7" s="1"/>
  <c r="F53" i="7"/>
  <c r="G53" i="7" s="1"/>
  <c r="F54" i="7"/>
  <c r="G54" i="7" s="1"/>
  <c r="F55" i="7"/>
  <c r="G55" i="7" s="1"/>
  <c r="F56" i="7"/>
  <c r="G56" i="7" s="1"/>
  <c r="F57" i="7"/>
  <c r="G57" i="7" s="1"/>
  <c r="F58" i="7"/>
  <c r="G58" i="7" s="1"/>
  <c r="F59" i="7"/>
  <c r="G59" i="7" s="1"/>
  <c r="F60" i="7"/>
  <c r="G60" i="7" s="1"/>
  <c r="F61" i="7"/>
  <c r="G61" i="7" s="1"/>
  <c r="F62" i="7"/>
  <c r="G62" i="7" s="1"/>
  <c r="F63" i="7"/>
  <c r="G63" i="7" s="1"/>
  <c r="F64" i="7"/>
  <c r="G64" i="7" s="1"/>
  <c r="F65" i="7"/>
  <c r="G65" i="7" s="1"/>
  <c r="F66" i="7"/>
  <c r="G66" i="7" s="1"/>
  <c r="F67" i="7"/>
  <c r="G67" i="7" s="1"/>
  <c r="F68" i="7"/>
  <c r="G68" i="7" s="1"/>
  <c r="F69" i="7"/>
  <c r="G69" i="7" s="1"/>
  <c r="F70" i="7"/>
  <c r="G70" i="7" s="1"/>
  <c r="F71" i="7"/>
  <c r="G71" i="7" s="1"/>
  <c r="F72" i="7"/>
  <c r="G72" i="7" s="1"/>
  <c r="F73" i="7"/>
  <c r="G73" i="7" s="1"/>
  <c r="F74" i="7"/>
  <c r="G74" i="7" s="1"/>
  <c r="F75" i="7"/>
  <c r="G75" i="7" s="1"/>
  <c r="F76" i="7"/>
  <c r="G76" i="7" s="1"/>
  <c r="F77" i="7"/>
  <c r="G77" i="7" s="1"/>
  <c r="F78" i="7"/>
  <c r="G78" i="7" s="1"/>
  <c r="F79" i="7"/>
  <c r="G79" i="7" s="1"/>
  <c r="F80" i="7"/>
  <c r="G80" i="7" s="1"/>
  <c r="F81" i="7"/>
  <c r="G81" i="7" s="1"/>
  <c r="F82" i="7"/>
  <c r="G82" i="7" s="1"/>
  <c r="F83" i="7"/>
  <c r="G83" i="7" s="1"/>
  <c r="F84" i="7"/>
  <c r="G84" i="7" s="1"/>
  <c r="F85" i="7"/>
  <c r="G85" i="7" s="1"/>
  <c r="F86" i="7"/>
  <c r="G86" i="7" s="1"/>
  <c r="F87" i="7"/>
  <c r="G87" i="7" s="1"/>
  <c r="F88" i="7"/>
  <c r="G88" i="7" s="1"/>
  <c r="F89" i="7"/>
  <c r="G89" i="7" s="1"/>
  <c r="F90" i="7"/>
  <c r="G90" i="7" s="1"/>
  <c r="F91" i="7"/>
  <c r="G91" i="7" s="1"/>
  <c r="F92" i="7"/>
  <c r="G92" i="7" s="1"/>
  <c r="F93" i="7"/>
  <c r="G93" i="7" s="1"/>
  <c r="F94" i="7"/>
  <c r="G94" i="7" s="1"/>
  <c r="F95" i="7"/>
  <c r="G95" i="7" s="1"/>
  <c r="F96" i="7"/>
  <c r="G96" i="7" s="1"/>
  <c r="F97" i="7"/>
  <c r="G97" i="7" s="1"/>
  <c r="F98" i="7"/>
  <c r="G98" i="7" s="1"/>
  <c r="F99" i="7"/>
  <c r="G99" i="7" s="1"/>
  <c r="F100" i="7"/>
  <c r="G100" i="7" s="1"/>
  <c r="F101" i="7"/>
  <c r="G101" i="7" s="1"/>
  <c r="F102" i="7"/>
  <c r="G102" i="7" s="1"/>
  <c r="F103" i="7"/>
  <c r="G103" i="7" s="1"/>
  <c r="F104" i="7"/>
  <c r="G104" i="7" s="1"/>
  <c r="F105" i="7"/>
  <c r="G105" i="7" s="1"/>
  <c r="F106" i="7"/>
  <c r="G106" i="7" s="1"/>
  <c r="F107" i="7"/>
  <c r="G107" i="7" s="1"/>
  <c r="F108" i="7"/>
  <c r="G108" i="7" s="1"/>
  <c r="F109" i="7"/>
  <c r="G109" i="7" s="1"/>
  <c r="F110" i="7"/>
  <c r="G110" i="7" s="1"/>
  <c r="F111" i="7"/>
  <c r="G111" i="7" s="1"/>
  <c r="F112" i="7"/>
  <c r="G112" i="7" s="1"/>
  <c r="F113" i="7"/>
  <c r="G113" i="7" s="1"/>
  <c r="F2" i="7"/>
  <c r="G2" i="7" s="1"/>
  <c r="F3" i="6"/>
  <c r="G3" i="6" s="1"/>
  <c r="F4" i="6"/>
  <c r="G4" i="6" s="1"/>
  <c r="F5" i="6"/>
  <c r="G5" i="6" s="1"/>
  <c r="F6" i="6"/>
  <c r="G6" i="6" s="1"/>
  <c r="F7" i="6"/>
  <c r="G7" i="6" s="1"/>
  <c r="F8" i="6"/>
  <c r="F9" i="6"/>
  <c r="G9" i="6" s="1"/>
  <c r="F10" i="6"/>
  <c r="G10" i="6" s="1"/>
  <c r="F11" i="6"/>
  <c r="G11" i="6" s="1"/>
  <c r="F12" i="6"/>
  <c r="G12" i="6" s="1"/>
  <c r="F13" i="6"/>
  <c r="G13" i="6" s="1"/>
  <c r="F14" i="6"/>
  <c r="G14" i="6" s="1"/>
  <c r="F15" i="6"/>
  <c r="G15" i="6" s="1"/>
  <c r="F16" i="6"/>
  <c r="G16" i="6" s="1"/>
  <c r="F17" i="6"/>
  <c r="G17" i="6" s="1"/>
  <c r="F18" i="6"/>
  <c r="G18" i="6" s="1"/>
  <c r="F19" i="6"/>
  <c r="G19" i="6" s="1"/>
  <c r="F20" i="6"/>
  <c r="G20" i="6" s="1"/>
  <c r="F21" i="6"/>
  <c r="G21" i="6" s="1"/>
  <c r="F22" i="6"/>
  <c r="G22" i="6" s="1"/>
  <c r="F23" i="6"/>
  <c r="G23" i="6" s="1"/>
  <c r="F24" i="6"/>
  <c r="G24" i="6" s="1"/>
  <c r="F25" i="6"/>
  <c r="F26" i="6"/>
  <c r="G26" i="6" s="1"/>
  <c r="F27" i="6"/>
  <c r="G27" i="6" s="1"/>
  <c r="F28" i="6"/>
  <c r="G28" i="6" s="1"/>
  <c r="F29" i="6"/>
  <c r="G29" i="6" s="1"/>
  <c r="F30" i="6"/>
  <c r="F31" i="6"/>
  <c r="G31" i="6" s="1"/>
  <c r="F32" i="6"/>
  <c r="G32" i="6" s="1"/>
  <c r="F33" i="6"/>
  <c r="G33" i="6" s="1"/>
  <c r="F34" i="6"/>
  <c r="G34" i="6" s="1"/>
  <c r="F35" i="6"/>
  <c r="G35" i="6" s="1"/>
  <c r="F36" i="6"/>
  <c r="G36" i="6" s="1"/>
  <c r="F37" i="6"/>
  <c r="G37" i="6" s="1"/>
  <c r="F38" i="6"/>
  <c r="G38" i="6" s="1"/>
  <c r="F39" i="6"/>
  <c r="G39" i="6" s="1"/>
  <c r="F40" i="6"/>
  <c r="G40" i="6" s="1"/>
  <c r="F41" i="6"/>
  <c r="G41" i="6" s="1"/>
  <c r="F42" i="6"/>
  <c r="G42" i="6" s="1"/>
  <c r="F43" i="6"/>
  <c r="G43" i="6" s="1"/>
  <c r="F44" i="6"/>
  <c r="G44" i="6" s="1"/>
  <c r="F45" i="6"/>
  <c r="G45" i="6" s="1"/>
  <c r="F46" i="6"/>
  <c r="G46" i="6" s="1"/>
  <c r="F47" i="6"/>
  <c r="F48" i="6"/>
  <c r="G48" i="6" s="1"/>
  <c r="F49" i="6"/>
  <c r="G49" i="6" s="1"/>
  <c r="F50" i="6"/>
  <c r="G50" i="6" s="1"/>
  <c r="F51" i="6"/>
  <c r="G51" i="6" s="1"/>
  <c r="F52" i="6"/>
  <c r="F53" i="6"/>
  <c r="G53" i="6" s="1"/>
  <c r="F54" i="6"/>
  <c r="G54" i="6" s="1"/>
  <c r="F55" i="6"/>
  <c r="G55" i="6" s="1"/>
  <c r="F56" i="6"/>
  <c r="G56" i="6" s="1"/>
  <c r="F57" i="6"/>
  <c r="G57" i="6" s="1"/>
  <c r="F58" i="6"/>
  <c r="G58" i="6" s="1"/>
  <c r="F59" i="6"/>
  <c r="G59" i="6" s="1"/>
  <c r="F60" i="6"/>
  <c r="G60" i="6" s="1"/>
  <c r="F61" i="6"/>
  <c r="G61" i="6" s="1"/>
  <c r="F62" i="6"/>
  <c r="G62" i="6" s="1"/>
  <c r="F63" i="6"/>
  <c r="G63" i="6" s="1"/>
  <c r="F64" i="6"/>
  <c r="G64" i="6" s="1"/>
  <c r="F65" i="6"/>
  <c r="G65" i="6" s="1"/>
  <c r="F66" i="6"/>
  <c r="G66" i="6" s="1"/>
  <c r="F67" i="6"/>
  <c r="G67" i="6" s="1"/>
  <c r="F68" i="6"/>
  <c r="G68" i="6" s="1"/>
  <c r="F69" i="6"/>
  <c r="F70" i="6"/>
  <c r="G70" i="6" s="1"/>
  <c r="F71" i="6"/>
  <c r="G71" i="6" s="1"/>
  <c r="F72" i="6"/>
  <c r="F73" i="6"/>
  <c r="F74" i="6"/>
  <c r="G74" i="6" s="1"/>
  <c r="F75" i="6"/>
  <c r="G75" i="6" s="1"/>
  <c r="F76" i="6"/>
  <c r="G76" i="6" s="1"/>
  <c r="F77" i="6"/>
  <c r="G77" i="6" s="1"/>
  <c r="F78" i="6"/>
  <c r="G78" i="6" s="1"/>
  <c r="F79" i="6"/>
  <c r="G79" i="6" s="1"/>
  <c r="F80" i="6"/>
  <c r="G80" i="6" s="1"/>
  <c r="F81" i="6"/>
  <c r="G81" i="6" s="1"/>
  <c r="F82" i="6"/>
  <c r="G82" i="6" s="1"/>
  <c r="F83" i="6"/>
  <c r="G83" i="6" s="1"/>
  <c r="F84" i="6"/>
  <c r="G84" i="6" s="1"/>
  <c r="F85" i="6"/>
  <c r="G85" i="6" s="1"/>
  <c r="F86" i="6"/>
  <c r="G86" i="6" s="1"/>
  <c r="F87" i="6"/>
  <c r="G87" i="6" s="1"/>
  <c r="F88" i="6"/>
  <c r="G88" i="6" s="1"/>
  <c r="F89" i="6"/>
  <c r="G89" i="6" s="1"/>
  <c r="F90" i="6"/>
  <c r="G90" i="6" s="1"/>
  <c r="F91" i="6"/>
  <c r="G91" i="6" s="1"/>
  <c r="F92" i="6"/>
  <c r="G92" i="6" s="1"/>
  <c r="F93" i="6"/>
  <c r="G93" i="6" s="1"/>
  <c r="F94" i="6"/>
  <c r="F95" i="6"/>
  <c r="G95" i="6" s="1"/>
  <c r="F96" i="6"/>
  <c r="G96" i="6" s="1"/>
  <c r="F97" i="6"/>
  <c r="G97" i="6" s="1"/>
  <c r="F98" i="6"/>
  <c r="G98" i="6" s="1"/>
  <c r="F99" i="6"/>
  <c r="G99" i="6" s="1"/>
  <c r="F100" i="6"/>
  <c r="G100" i="6" s="1"/>
  <c r="F101" i="6"/>
  <c r="G101" i="6" s="1"/>
  <c r="F102" i="6"/>
  <c r="G102" i="6" s="1"/>
  <c r="F103" i="6"/>
  <c r="G103" i="6" s="1"/>
  <c r="F104" i="6"/>
  <c r="G104" i="6" s="1"/>
  <c r="F105" i="6"/>
  <c r="G105" i="6" s="1"/>
  <c r="F106" i="6"/>
  <c r="G106" i="6" s="1"/>
  <c r="F107" i="6"/>
  <c r="G107" i="6" s="1"/>
  <c r="F108" i="6"/>
  <c r="G108" i="6" s="1"/>
  <c r="F109" i="6"/>
  <c r="G109" i="6" s="1"/>
  <c r="F110" i="6"/>
  <c r="G110" i="6" s="1"/>
  <c r="F111" i="6"/>
  <c r="G111" i="6" s="1"/>
  <c r="F112" i="6"/>
  <c r="G112" i="6" s="1"/>
  <c r="F113" i="6"/>
  <c r="G113" i="6" s="1"/>
  <c r="F114" i="6"/>
  <c r="G114" i="6" s="1"/>
  <c r="F115" i="6"/>
  <c r="G115" i="6" s="1"/>
  <c r="F116" i="6"/>
  <c r="G116" i="6" s="1"/>
  <c r="F117" i="6"/>
  <c r="G117" i="6" s="1"/>
  <c r="F118" i="6"/>
  <c r="G118" i="6" s="1"/>
  <c r="F119" i="6"/>
  <c r="G119" i="6" s="1"/>
  <c r="F120" i="6"/>
  <c r="G120" i="6" s="1"/>
  <c r="F121" i="6"/>
  <c r="G121" i="6" s="1"/>
  <c r="F122" i="6"/>
  <c r="G122" i="6" s="1"/>
  <c r="F123" i="6"/>
  <c r="G123" i="6" s="1"/>
  <c r="F124" i="6"/>
  <c r="G124" i="6" s="1"/>
  <c r="F125" i="6"/>
  <c r="G125" i="6" s="1"/>
  <c r="F126" i="6"/>
  <c r="G126" i="6" s="1"/>
  <c r="F127" i="6"/>
  <c r="G127" i="6" s="1"/>
  <c r="F128" i="6"/>
  <c r="G128" i="6" s="1"/>
  <c r="F129" i="6"/>
  <c r="G129" i="6" s="1"/>
  <c r="F130" i="6"/>
  <c r="G130" i="6" s="1"/>
  <c r="F131" i="6"/>
  <c r="G131" i="6" s="1"/>
  <c r="F132" i="6"/>
  <c r="G132" i="6" s="1"/>
  <c r="F133" i="6"/>
  <c r="G133" i="6" s="1"/>
  <c r="F134" i="6"/>
  <c r="G134" i="6" s="1"/>
  <c r="F135" i="6"/>
  <c r="F136" i="6"/>
  <c r="G136" i="6" s="1"/>
  <c r="F137" i="6"/>
  <c r="G137" i="6" s="1"/>
  <c r="F138" i="6"/>
  <c r="G138" i="6" s="1"/>
  <c r="F139" i="6"/>
  <c r="G139" i="6" s="1"/>
  <c r="F140" i="6"/>
  <c r="G140" i="6" s="1"/>
  <c r="F141" i="6"/>
  <c r="G141" i="6" s="1"/>
  <c r="F142" i="6"/>
  <c r="G142" i="6" s="1"/>
  <c r="F143" i="6"/>
  <c r="G143" i="6" s="1"/>
  <c r="F144" i="6"/>
  <c r="G144" i="6" s="1"/>
  <c r="F145" i="6"/>
  <c r="G145" i="6" s="1"/>
  <c r="F146" i="6"/>
  <c r="G146" i="6" s="1"/>
  <c r="F147" i="6"/>
  <c r="G147" i="6" s="1"/>
  <c r="F148" i="6"/>
  <c r="G148" i="6" s="1"/>
  <c r="F149" i="6"/>
  <c r="G149" i="6" s="1"/>
  <c r="F150" i="6"/>
  <c r="G150" i="6" s="1"/>
  <c r="F151" i="6"/>
  <c r="G151" i="6" s="1"/>
  <c r="F152" i="6"/>
  <c r="G152" i="6" s="1"/>
  <c r="F153" i="6"/>
  <c r="G153" i="6" s="1"/>
  <c r="F154" i="6"/>
  <c r="G154" i="6" s="1"/>
  <c r="F155" i="6"/>
  <c r="G155" i="6" s="1"/>
  <c r="F156" i="6"/>
  <c r="G156" i="6" s="1"/>
  <c r="F157" i="6"/>
  <c r="F158" i="6"/>
  <c r="G158" i="6" s="1"/>
  <c r="F159" i="6"/>
  <c r="G159" i="6" s="1"/>
  <c r="F160" i="6"/>
  <c r="G160" i="6" s="1"/>
  <c r="F161" i="6"/>
  <c r="G161" i="6" s="1"/>
  <c r="F162" i="6"/>
  <c r="G162" i="6" s="1"/>
  <c r="G8" i="6"/>
  <c r="G25" i="6"/>
  <c r="G30" i="6"/>
  <c r="G47" i="6"/>
  <c r="G52" i="6"/>
  <c r="G69" i="6"/>
  <c r="G72" i="6"/>
  <c r="G73" i="6"/>
  <c r="G94" i="6"/>
  <c r="G135" i="6"/>
  <c r="G157" i="6"/>
  <c r="F2" i="6"/>
  <c r="G2" i="6" s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" i="5"/>
  <c r="G4" i="4"/>
  <c r="G5" i="4"/>
  <c r="G19" i="4"/>
  <c r="F2" i="4"/>
  <c r="G2" i="4" s="1"/>
  <c r="F3" i="4"/>
  <c r="G3" i="4" s="1"/>
  <c r="F4" i="4"/>
  <c r="F5" i="4"/>
  <c r="F6" i="4"/>
  <c r="G6" i="4" s="1"/>
  <c r="F7" i="4"/>
  <c r="G7" i="4" s="1"/>
  <c r="F8" i="4"/>
  <c r="G8" i="4" s="1"/>
  <c r="F9" i="4"/>
  <c r="G9" i="4" s="1"/>
  <c r="F10" i="4"/>
  <c r="G10" i="4" s="1"/>
  <c r="F11" i="4"/>
  <c r="G11" i="4" s="1"/>
  <c r="F12" i="4"/>
  <c r="G12" i="4" s="1"/>
  <c r="F13" i="4"/>
  <c r="G13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F30" i="4"/>
  <c r="G30" i="4" s="1"/>
  <c r="F31" i="4"/>
  <c r="G31" i="4" s="1"/>
  <c r="F32" i="4"/>
  <c r="G32" i="4" s="1"/>
  <c r="F33" i="4"/>
  <c r="G33" i="4" s="1"/>
  <c r="F34" i="4"/>
  <c r="G34" i="4" s="1"/>
  <c r="E3" i="3"/>
  <c r="E4" i="3"/>
  <c r="E5" i="3"/>
  <c r="E6" i="3"/>
  <c r="E2" i="3"/>
  <c r="B7" i="3"/>
  <c r="S15" i="2"/>
  <c r="D21" i="2"/>
  <c r="D16" i="2"/>
  <c r="C21" i="2"/>
  <c r="C16" i="2"/>
  <c r="B21" i="2"/>
  <c r="B16" i="2"/>
  <c r="A21" i="2"/>
  <c r="A16" i="2"/>
  <c r="S5" i="2"/>
  <c r="S6" i="2"/>
  <c r="S7" i="2"/>
  <c r="S4" i="2"/>
  <c r="A9" i="2"/>
  <c r="A4" i="2"/>
  <c r="D9" i="2"/>
  <c r="D4" i="2"/>
  <c r="C9" i="2"/>
  <c r="C4" i="2"/>
  <c r="B9" i="2"/>
  <c r="B4" i="2"/>
  <c r="B7" i="1"/>
</calcChain>
</file>

<file path=xl/sharedStrings.xml><?xml version="1.0" encoding="utf-8"?>
<sst xmlns="http://schemas.openxmlformats.org/spreadsheetml/2006/main" count="1358" uniqueCount="64">
  <si>
    <t>10 m - check</t>
  </si>
  <si>
    <t>10 m - no check</t>
  </si>
  <si>
    <t>28.8</t>
  </si>
  <si>
    <t>50.52</t>
  </si>
  <si>
    <t xml:space="preserve">10 m - no </t>
  </si>
  <si>
    <t>14,772.88</t>
  </si>
  <si>
    <t>18,730.08</t>
  </si>
  <si>
    <t>25,419.88</t>
  </si>
  <si>
    <t>31,878.04</t>
  </si>
  <si>
    <t>16,496.04</t>
  </si>
  <si>
    <t>21,201.48</t>
  </si>
  <si>
    <t>29,907.16</t>
  </si>
  <si>
    <t>38,738.6</t>
  </si>
  <si>
    <t>35 - m check</t>
  </si>
  <si>
    <t xml:space="preserve">35 m no </t>
  </si>
  <si>
    <t>3,260.96</t>
  </si>
  <si>
    <t>4,305.64</t>
  </si>
  <si>
    <t>5,056.88</t>
  </si>
  <si>
    <t>3,132.32</t>
  </si>
  <si>
    <t>8,365.48</t>
  </si>
  <si>
    <t>17,480.92</t>
  </si>
  <si>
    <t>23,613.44</t>
  </si>
  <si>
    <t xml:space="preserve">Kelas kedalaman </t>
  </si>
  <si>
    <t xml:space="preserve"> Jumlah piksel </t>
  </si>
  <si>
    <t xml:space="preserve"> Luas (m2) </t>
  </si>
  <si>
    <t xml:space="preserve"> Luas (ha)</t>
  </si>
  <si>
    <t xml:space="preserve">  0.0 - 2.0   m </t>
  </si>
  <si>
    <t xml:space="preserve"> 191926400.00 </t>
  </si>
  <si>
    <t xml:space="preserve">  2.0 - 4.0   m </t>
  </si>
  <si>
    <t xml:space="preserve"> 778285600.00 </t>
  </si>
  <si>
    <t xml:space="preserve">  4.0 - 6.0   m </t>
  </si>
  <si>
    <t xml:space="preserve"> 1222251600.00 </t>
  </si>
  <si>
    <t xml:space="preserve">  6.0 - 8.0   m </t>
  </si>
  <si>
    <t xml:space="preserve"> 1303450000.00 </t>
  </si>
  <si>
    <t xml:space="preserve">  8.0 - 10.0  m </t>
  </si>
  <si>
    <t xml:space="preserve"> 182587200.00 </t>
  </si>
  <si>
    <t>Percentage</t>
  </si>
  <si>
    <t>depth</t>
  </si>
  <si>
    <t>salinity</t>
  </si>
  <si>
    <t>temp</t>
  </si>
  <si>
    <t>sediment</t>
  </si>
  <si>
    <t>count_pixels</t>
  </si>
  <si>
    <t>3.5 - 4.0</t>
  </si>
  <si>
    <t>32.5 - 33.0</t>
  </si>
  <si>
    <t>no data avail</t>
  </si>
  <si>
    <t>out of range</t>
  </si>
  <si>
    <t>4.0 - 4.5</t>
  </si>
  <si>
    <t>33.0 - 33.5</t>
  </si>
  <si>
    <t>28.5 - 29.0</t>
  </si>
  <si>
    <t>15.0 - 20.0</t>
  </si>
  <si>
    <t>20.0 - 25.0</t>
  </si>
  <si>
    <t>4.5 - 5.0</t>
  </si>
  <si>
    <t>10.0 - 15.0</t>
  </si>
  <si>
    <t>5.0 - 10.0</t>
  </si>
  <si>
    <t>29.0 - 29.5</t>
  </si>
  <si>
    <t>0.0 - 5.0</t>
  </si>
  <si>
    <t>3.0 - 3.5</t>
  </si>
  <si>
    <t>27.5 - 28.0</t>
  </si>
  <si>
    <t>5.0 - 5.5</t>
  </si>
  <si>
    <t>5.5 - 6.0</t>
  </si>
  <si>
    <t>6.0 - 6.5</t>
  </si>
  <si>
    <t>6.5 - 7.0</t>
  </si>
  <si>
    <t>7.0 - 7.5</t>
  </si>
  <si>
    <t>7.5 - 8.0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</si>
</sst>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F7BA-FF4C-4128-943B-B12C71434EDC}">
  <dimension ref="A1:E7"/>
  <sheetViews>
    <sheetView workbookViewId="0">
      <selection activeCell="I9" sqref="I9"/>
    </sheetView>
  </sheetViews>
  <sheetFormatPr defaultRowHeight="14.5" x14ac:dyDescent="0.35"/>
  <cols>
    <col min="2" max="2" width="12.90625" bestFit="1" customWidth="1"/>
    <col min="3" max="3" width="14.36328125" bestFit="1" customWidth="1"/>
    <col min="4" max="4" width="12.453125" bestFit="1" customWidth="1"/>
    <col min="5" max="5" width="10" bestFit="1" customWidth="1"/>
  </cols>
  <sheetData>
    <row r="1" spans="1:5" x14ac:dyDescent="0.35">
      <c r="A1" t="s">
        <v>22</v>
      </c>
      <c r="B1" t="s">
        <v>23</v>
      </c>
      <c r="C1" t="s">
        <v>24</v>
      </c>
      <c r="D1" t="s">
        <v>25</v>
      </c>
      <c r="E1" t="s">
        <v>36</v>
      </c>
    </row>
    <row r="2" spans="1:5" x14ac:dyDescent="0.35">
      <c r="A2" t="s">
        <v>26</v>
      </c>
      <c r="B2">
        <v>479816</v>
      </c>
      <c r="C2" t="s">
        <v>27</v>
      </c>
      <c r="D2" s="1">
        <v>191926400</v>
      </c>
      <c r="E2" s="2">
        <f>(B2/$B$7)*100</f>
        <v>5.2175168753531329</v>
      </c>
    </row>
    <row r="3" spans="1:5" x14ac:dyDescent="0.35">
      <c r="A3" t="s">
        <v>28</v>
      </c>
      <c r="B3">
        <v>1945714</v>
      </c>
      <c r="C3" t="s">
        <v>29</v>
      </c>
      <c r="D3" s="1">
        <v>778285600</v>
      </c>
      <c r="E3" s="2">
        <f>(B3/$B$7)*100</f>
        <v>21.157684674147685</v>
      </c>
    </row>
    <row r="4" spans="1:5" x14ac:dyDescent="0.35">
      <c r="A4" t="s">
        <v>30</v>
      </c>
      <c r="B4">
        <v>3055629</v>
      </c>
      <c r="C4" t="s">
        <v>31</v>
      </c>
      <c r="D4" s="1">
        <v>1222251600</v>
      </c>
      <c r="E4" s="2">
        <f>(B4/$B$7)*100</f>
        <v>33.226895043763484</v>
      </c>
    </row>
    <row r="5" spans="1:5" x14ac:dyDescent="0.35">
      <c r="A5" t="s">
        <v>32</v>
      </c>
      <c r="B5">
        <v>3258625</v>
      </c>
      <c r="C5" t="s">
        <v>33</v>
      </c>
      <c r="D5" s="1">
        <v>1303450000</v>
      </c>
      <c r="E5" s="2">
        <f>(B5/$B$7)*100</f>
        <v>35.434272571043074</v>
      </c>
    </row>
    <row r="6" spans="1:5" x14ac:dyDescent="0.35">
      <c r="A6" t="s">
        <v>34</v>
      </c>
      <c r="B6">
        <v>456468</v>
      </c>
      <c r="C6" t="s">
        <v>35</v>
      </c>
      <c r="D6" s="1">
        <v>182587200</v>
      </c>
      <c r="E6" s="2">
        <f>(B6/$B$7)*100</f>
        <v>4.9636308356926273</v>
      </c>
    </row>
    <row r="7" spans="1:5" x14ac:dyDescent="0.35">
      <c r="B7">
        <f>SUM(B2:B6)</f>
        <v>9196252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4E25F-8EA7-469A-B6B0-DEFA5C7F22F7}">
  <dimension ref="A1:B11"/>
  <sheetViews>
    <sheetView workbookViewId="0">
      <selection activeCell="G13" sqref="G13"/>
    </sheetView>
  </sheetViews>
  <sheetFormatPr defaultRowHeight="14.5" x14ac:dyDescent="0.35"/>
  <cols>
    <col min="2" max="2" width="14.7265625" bestFit="1" customWidth="1"/>
  </cols>
  <sheetData>
    <row r="1" spans="1:2" x14ac:dyDescent="0.35">
      <c r="A1" t="s">
        <v>0</v>
      </c>
    </row>
    <row r="2" spans="1:2" x14ac:dyDescent="0.35">
      <c r="A2">
        <v>15</v>
      </c>
      <c r="B2">
        <v>25</v>
      </c>
    </row>
    <row r="3" spans="1:2" x14ac:dyDescent="0.35">
      <c r="A3">
        <v>2.08</v>
      </c>
      <c r="B3">
        <v>2.8</v>
      </c>
    </row>
    <row r="4" spans="1:2" x14ac:dyDescent="0.35">
      <c r="B4">
        <v>2.04</v>
      </c>
    </row>
    <row r="5" spans="1:2" x14ac:dyDescent="0.35">
      <c r="B5">
        <v>2.08</v>
      </c>
    </row>
    <row r="6" spans="1:2" x14ac:dyDescent="0.35">
      <c r="B6">
        <v>2.16</v>
      </c>
    </row>
    <row r="7" spans="1:2" x14ac:dyDescent="0.35">
      <c r="B7">
        <f>SUM(B3:B6)</f>
        <v>9.08</v>
      </c>
    </row>
    <row r="9" spans="1:2" x14ac:dyDescent="0.35">
      <c r="A9" t="s">
        <v>1</v>
      </c>
    </row>
    <row r="10" spans="1:2" x14ac:dyDescent="0.35">
      <c r="A10">
        <v>15</v>
      </c>
      <c r="B10">
        <v>25</v>
      </c>
    </row>
    <row r="11" spans="1:2" x14ac:dyDescent="0.35">
      <c r="A11" t="s">
        <v>2</v>
      </c>
      <c r="B11" t="s">
        <v>3</v>
      </c>
    </row>
  </sheetData>
  <pageMargins left="0.7" right="0.7" top="0.75" bottom="0.75" header="0.3" footer="0.3"/>
  <ignoredErrors>
    <ignoredError sqref="B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7932F-1450-4E94-B9A1-E637572166FD}">
  <dimension ref="A1:S23"/>
  <sheetViews>
    <sheetView topLeftCell="D1" workbookViewId="0">
      <selection activeCell="S4" sqref="S4"/>
    </sheetView>
  </sheetViews>
  <sheetFormatPr defaultRowHeight="14.5" x14ac:dyDescent="0.35"/>
  <cols>
    <col min="2" max="2" width="9.08984375" customWidth="1"/>
    <col min="4" max="4" width="9.81640625" bestFit="1" customWidth="1"/>
    <col min="18" max="18" width="8.81640625" bestFit="1" customWidth="1"/>
    <col min="19" max="19" width="29.7265625" customWidth="1"/>
  </cols>
  <sheetData>
    <row r="1" spans="1:19" x14ac:dyDescent="0.35">
      <c r="A1" t="s">
        <v>0</v>
      </c>
      <c r="H1">
        <v>10000</v>
      </c>
    </row>
    <row r="2" spans="1:19" x14ac:dyDescent="0.35">
      <c r="A2">
        <v>1</v>
      </c>
      <c r="B2">
        <v>5</v>
      </c>
      <c r="C2">
        <v>15</v>
      </c>
      <c r="D2">
        <v>25</v>
      </c>
      <c r="F2">
        <v>1</v>
      </c>
      <c r="G2">
        <v>5</v>
      </c>
      <c r="H2">
        <v>15</v>
      </c>
      <c r="I2">
        <v>25</v>
      </c>
      <c r="K2">
        <v>1</v>
      </c>
      <c r="L2">
        <v>134</v>
      </c>
      <c r="M2">
        <v>14772.88</v>
      </c>
    </row>
    <row r="3" spans="1:19" x14ac:dyDescent="0.35">
      <c r="A3">
        <v>134</v>
      </c>
      <c r="B3">
        <v>129</v>
      </c>
      <c r="C3">
        <v>153</v>
      </c>
      <c r="D3">
        <v>150</v>
      </c>
      <c r="F3">
        <v>134</v>
      </c>
      <c r="G3">
        <v>129</v>
      </c>
      <c r="H3">
        <v>153</v>
      </c>
      <c r="I3">
        <v>150</v>
      </c>
      <c r="K3">
        <v>5</v>
      </c>
      <c r="L3">
        <v>129</v>
      </c>
      <c r="M3">
        <v>18730.080000000002</v>
      </c>
    </row>
    <row r="4" spans="1:19" x14ac:dyDescent="0.35">
      <c r="A4">
        <f>147728800/H1</f>
        <v>14772.88</v>
      </c>
      <c r="B4">
        <f>187300800/10000</f>
        <v>18730.080000000002</v>
      </c>
      <c r="C4">
        <f>254198800/H1</f>
        <v>25419.88</v>
      </c>
      <c r="D4">
        <f>318780400/H1</f>
        <v>31878.04</v>
      </c>
      <c r="F4">
        <v>14772.88</v>
      </c>
      <c r="G4">
        <v>18730.080000000002</v>
      </c>
      <c r="H4">
        <v>25419.88</v>
      </c>
      <c r="I4">
        <v>31878.04</v>
      </c>
      <c r="K4">
        <v>15</v>
      </c>
      <c r="L4">
        <v>153</v>
      </c>
      <c r="M4">
        <v>25419.88</v>
      </c>
      <c r="O4">
        <v>134</v>
      </c>
      <c r="P4" t="s">
        <v>5</v>
      </c>
      <c r="Q4">
        <v>138</v>
      </c>
      <c r="R4" t="s">
        <v>9</v>
      </c>
      <c r="S4" t="str">
        <f>_xlfn.TEXTJOIN(" &amp; ",TRUE,O4:R4)</f>
        <v>134 &amp; 14,772.88 &amp; 138 &amp; 16,496.04</v>
      </c>
    </row>
    <row r="5" spans="1:19" x14ac:dyDescent="0.35">
      <c r="K5">
        <v>25</v>
      </c>
      <c r="L5">
        <v>150</v>
      </c>
      <c r="M5">
        <v>31878.04</v>
      </c>
      <c r="O5">
        <v>129</v>
      </c>
      <c r="P5" t="s">
        <v>6</v>
      </c>
      <c r="Q5">
        <v>133</v>
      </c>
      <c r="R5" t="s">
        <v>10</v>
      </c>
      <c r="S5" t="str">
        <f>_xlfn.TEXTJOIN(" &amp; ",TRUE,O5:R5)</f>
        <v>129 &amp; 18,730.08 &amp; 133 &amp; 21,201.48</v>
      </c>
    </row>
    <row r="6" spans="1:19" x14ac:dyDescent="0.35">
      <c r="A6" t="s">
        <v>4</v>
      </c>
      <c r="O6">
        <v>153</v>
      </c>
      <c r="P6" t="s">
        <v>7</v>
      </c>
      <c r="Q6">
        <v>80</v>
      </c>
      <c r="R6" t="s">
        <v>11</v>
      </c>
      <c r="S6" t="str">
        <f>_xlfn.TEXTJOIN(" &amp; ",TRUE,O6:R6)</f>
        <v>153 &amp; 25,419.88 &amp; 80 &amp; 29,907.16</v>
      </c>
    </row>
    <row r="7" spans="1:19" x14ac:dyDescent="0.35">
      <c r="A7">
        <v>1</v>
      </c>
      <c r="B7">
        <v>5</v>
      </c>
      <c r="C7">
        <v>15</v>
      </c>
      <c r="D7">
        <v>25</v>
      </c>
      <c r="F7">
        <v>1</v>
      </c>
      <c r="G7">
        <v>5</v>
      </c>
      <c r="H7">
        <v>15</v>
      </c>
      <c r="I7">
        <v>25</v>
      </c>
      <c r="K7">
        <v>1</v>
      </c>
      <c r="L7">
        <v>138</v>
      </c>
      <c r="M7">
        <v>16496.04</v>
      </c>
      <c r="O7">
        <v>150</v>
      </c>
      <c r="P7" t="s">
        <v>8</v>
      </c>
      <c r="Q7">
        <v>48</v>
      </c>
      <c r="R7" t="s">
        <v>12</v>
      </c>
      <c r="S7" t="str">
        <f>_xlfn.TEXTJOIN(" &amp; ",TRUE,O7:R7)</f>
        <v>150 &amp; 31,878.04 &amp; 48 &amp; 38,738.6</v>
      </c>
    </row>
    <row r="8" spans="1:19" x14ac:dyDescent="0.35">
      <c r="A8">
        <v>138</v>
      </c>
      <c r="B8">
        <v>133</v>
      </c>
      <c r="C8">
        <v>80</v>
      </c>
      <c r="D8">
        <v>48</v>
      </c>
      <c r="F8">
        <v>138</v>
      </c>
      <c r="G8">
        <v>133</v>
      </c>
      <c r="H8">
        <v>80</v>
      </c>
      <c r="I8">
        <v>48</v>
      </c>
      <c r="K8">
        <v>5</v>
      </c>
      <c r="L8">
        <v>133</v>
      </c>
      <c r="M8">
        <v>21201.48</v>
      </c>
    </row>
    <row r="9" spans="1:19" x14ac:dyDescent="0.35">
      <c r="A9">
        <f>164960400/H1</f>
        <v>16496.04</v>
      </c>
      <c r="B9">
        <f>212014800/10000</f>
        <v>21201.48</v>
      </c>
      <c r="C9">
        <f>299071600/H1</f>
        <v>29907.16</v>
      </c>
      <c r="D9">
        <f>387386000/H1</f>
        <v>38738.6</v>
      </c>
      <c r="F9">
        <v>16496.04</v>
      </c>
      <c r="G9">
        <v>21201.48</v>
      </c>
      <c r="H9">
        <v>29907.16</v>
      </c>
      <c r="I9">
        <v>38738.6</v>
      </c>
      <c r="K9">
        <v>15</v>
      </c>
      <c r="L9">
        <v>80</v>
      </c>
      <c r="M9">
        <v>29907.16</v>
      </c>
    </row>
    <row r="10" spans="1:19" x14ac:dyDescent="0.35">
      <c r="K10">
        <v>25</v>
      </c>
      <c r="L10">
        <v>48</v>
      </c>
      <c r="M10">
        <v>38738.6</v>
      </c>
    </row>
    <row r="13" spans="1:19" x14ac:dyDescent="0.35">
      <c r="A13" t="s">
        <v>13</v>
      </c>
    </row>
    <row r="14" spans="1:19" x14ac:dyDescent="0.35">
      <c r="A14">
        <v>1</v>
      </c>
      <c r="B14">
        <v>5</v>
      </c>
      <c r="C14">
        <v>15</v>
      </c>
      <c r="D14">
        <v>25</v>
      </c>
      <c r="F14">
        <v>1</v>
      </c>
      <c r="G14">
        <v>5</v>
      </c>
      <c r="H14">
        <v>15</v>
      </c>
      <c r="I14">
        <v>25</v>
      </c>
      <c r="K14">
        <v>1</v>
      </c>
      <c r="L14">
        <v>167</v>
      </c>
      <c r="M14">
        <v>2314</v>
      </c>
    </row>
    <row r="15" spans="1:19" x14ac:dyDescent="0.35">
      <c r="A15">
        <v>167</v>
      </c>
      <c r="B15">
        <v>167</v>
      </c>
      <c r="C15">
        <v>179</v>
      </c>
      <c r="D15">
        <v>183</v>
      </c>
      <c r="F15">
        <v>167</v>
      </c>
      <c r="G15">
        <v>167</v>
      </c>
      <c r="H15">
        <v>179</v>
      </c>
      <c r="I15">
        <v>183</v>
      </c>
      <c r="K15">
        <v>5</v>
      </c>
      <c r="L15">
        <v>167</v>
      </c>
      <c r="M15">
        <v>3260.96</v>
      </c>
      <c r="O15">
        <v>167</v>
      </c>
      <c r="P15">
        <v>2.3140000000000001</v>
      </c>
      <c r="Q15">
        <v>172</v>
      </c>
      <c r="R15" t="s">
        <v>18</v>
      </c>
      <c r="S15" t="str">
        <f>_xlfn.TEXTJOIN(" &amp; ",TRUE,O15:R15)</f>
        <v>167 &amp; 2,314 &amp; 172 &amp; 3,132.32</v>
      </c>
    </row>
    <row r="16" spans="1:19" x14ac:dyDescent="0.35">
      <c r="A16">
        <f>23140000/H1</f>
        <v>2314</v>
      </c>
      <c r="B16">
        <f>32609600/H1</f>
        <v>3260.96</v>
      </c>
      <c r="C16">
        <f>43056400/H1</f>
        <v>4305.6400000000003</v>
      </c>
      <c r="D16">
        <f>50568800/H1</f>
        <v>5056.88</v>
      </c>
      <c r="F16">
        <v>2314</v>
      </c>
      <c r="G16">
        <v>3260.96</v>
      </c>
      <c r="H16">
        <v>4305.6400000000003</v>
      </c>
      <c r="I16">
        <v>5056.88</v>
      </c>
      <c r="K16">
        <v>15</v>
      </c>
      <c r="L16">
        <v>179</v>
      </c>
      <c r="M16">
        <v>4305.6400000000003</v>
      </c>
      <c r="O16">
        <v>167</v>
      </c>
      <c r="P16" t="s">
        <v>15</v>
      </c>
      <c r="Q16">
        <v>117</v>
      </c>
      <c r="R16" t="s">
        <v>19</v>
      </c>
    </row>
    <row r="17" spans="1:18" x14ac:dyDescent="0.35">
      <c r="K17">
        <v>25</v>
      </c>
      <c r="L17">
        <v>183</v>
      </c>
      <c r="M17">
        <v>5056.88</v>
      </c>
      <c r="O17">
        <v>179</v>
      </c>
      <c r="P17" t="s">
        <v>16</v>
      </c>
      <c r="Q17">
        <v>49</v>
      </c>
      <c r="R17" t="s">
        <v>20</v>
      </c>
    </row>
    <row r="18" spans="1:18" x14ac:dyDescent="0.35">
      <c r="A18" t="s">
        <v>14</v>
      </c>
      <c r="O18">
        <v>183</v>
      </c>
      <c r="P18" t="s">
        <v>17</v>
      </c>
      <c r="Q18">
        <v>25</v>
      </c>
      <c r="R18" t="s">
        <v>21</v>
      </c>
    </row>
    <row r="19" spans="1:18" x14ac:dyDescent="0.35">
      <c r="A19">
        <v>1</v>
      </c>
      <c r="B19">
        <v>5</v>
      </c>
      <c r="C19">
        <v>15</v>
      </c>
      <c r="D19">
        <v>25</v>
      </c>
      <c r="F19">
        <v>1</v>
      </c>
      <c r="G19">
        <v>5</v>
      </c>
      <c r="H19">
        <v>15</v>
      </c>
      <c r="I19">
        <v>25</v>
      </c>
    </row>
    <row r="20" spans="1:18" x14ac:dyDescent="0.35">
      <c r="A20">
        <v>172</v>
      </c>
      <c r="B20">
        <v>117</v>
      </c>
      <c r="C20">
        <v>49</v>
      </c>
      <c r="D20">
        <v>25</v>
      </c>
      <c r="F20">
        <v>172</v>
      </c>
      <c r="G20">
        <v>117</v>
      </c>
      <c r="H20">
        <v>49</v>
      </c>
      <c r="I20">
        <v>25</v>
      </c>
      <c r="K20">
        <v>1</v>
      </c>
      <c r="L20">
        <v>172</v>
      </c>
      <c r="M20">
        <v>3132.32</v>
      </c>
    </row>
    <row r="21" spans="1:18" x14ac:dyDescent="0.35">
      <c r="A21">
        <f>31323200/H1</f>
        <v>3132.32</v>
      </c>
      <c r="B21">
        <f>83654800/H1</f>
        <v>8365.48</v>
      </c>
      <c r="C21">
        <f>174809200/H1</f>
        <v>17480.919999999998</v>
      </c>
      <c r="D21">
        <f>236134400/H1</f>
        <v>23613.439999999999</v>
      </c>
      <c r="F21">
        <v>3132.32</v>
      </c>
      <c r="G21">
        <v>8365.48</v>
      </c>
      <c r="H21">
        <v>17480.919999999998</v>
      </c>
      <c r="I21">
        <v>23613.439999999999</v>
      </c>
      <c r="K21">
        <v>5</v>
      </c>
      <c r="L21">
        <v>117</v>
      </c>
      <c r="M21">
        <v>8365.48</v>
      </c>
    </row>
    <row r="22" spans="1:18" x14ac:dyDescent="0.35">
      <c r="K22">
        <v>15</v>
      </c>
      <c r="L22">
        <v>49</v>
      </c>
      <c r="M22">
        <v>17480.919999999998</v>
      </c>
    </row>
    <row r="23" spans="1:18" x14ac:dyDescent="0.35">
      <c r="K23">
        <v>25</v>
      </c>
      <c r="L23">
        <v>25</v>
      </c>
      <c r="M23">
        <v>23613.439999999999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4BE1D-400E-401D-9ADC-EE0B2E96A5EB}">
  <dimension ref="A1:G34"/>
  <sheetViews>
    <sheetView workbookViewId="0">
      <selection sqref="A1:A1048576"/>
    </sheetView>
  </sheetViews>
  <sheetFormatPr defaultRowHeight="14.5" x14ac:dyDescent="0.35"/>
  <cols>
    <col min="1" max="1" width="11.26953125" bestFit="1" customWidth="1"/>
    <col min="2" max="2" width="11.453125" bestFit="1" customWidth="1"/>
    <col min="3" max="3" width="9.453125" bestFit="1" customWidth="1"/>
    <col min="4" max="5" width="11.453125" bestFit="1" customWidth="1"/>
    <col min="6" max="6" width="52.36328125" bestFit="1" customWidth="1"/>
    <col min="7" max="7" width="60" bestFit="1" customWidth="1"/>
  </cols>
  <sheetData>
    <row r="1" spans="1:7" x14ac:dyDescent="0.35">
      <c r="A1" t="s">
        <v>41</v>
      </c>
      <c r="B1" t="s">
        <v>37</v>
      </c>
      <c r="C1" t="s">
        <v>38</v>
      </c>
      <c r="D1" t="s">
        <v>39</v>
      </c>
      <c r="E1" t="s">
        <v>40</v>
      </c>
    </row>
    <row r="2" spans="1:7" x14ac:dyDescent="0.35">
      <c r="A2">
        <v>2</v>
      </c>
      <c r="B2" t="s">
        <v>42</v>
      </c>
      <c r="C2" t="s">
        <v>43</v>
      </c>
      <c r="D2" t="s">
        <v>44</v>
      </c>
      <c r="E2" t="s">
        <v>45</v>
      </c>
      <c r="F2" t="str">
        <f>_xlfn.TEXTJOIN(" &amp; ",TRUE,A2:E2)</f>
        <v>2 &amp; 3.5 - 4.0 &amp; 32.5 - 33.0 &amp; no data avail &amp; out of range</v>
      </c>
      <c r="G2" t="str">
        <f>_xlfn.CONCAT(F2," \\ \hline")</f>
        <v>2 &amp; 3.5 - 4.0 &amp; 32.5 - 33.0 &amp; no data avail &amp; out of range \\ \hline</v>
      </c>
    </row>
    <row r="3" spans="1:7" x14ac:dyDescent="0.35">
      <c r="A3">
        <v>1</v>
      </c>
      <c r="B3" t="s">
        <v>46</v>
      </c>
      <c r="C3" t="s">
        <v>43</v>
      </c>
      <c r="D3" t="s">
        <v>44</v>
      </c>
      <c r="E3" t="s">
        <v>45</v>
      </c>
      <c r="F3" t="str">
        <f t="shared" ref="F3:F34" si="0">_xlfn.TEXTJOIN(" &amp; ",TRUE,A3:E3)</f>
        <v>1 &amp; 4.0 - 4.5 &amp; 32.5 - 33.0 &amp; no data avail &amp; out of range</v>
      </c>
      <c r="G3" t="str">
        <f t="shared" ref="G3:G34" si="1">_xlfn.CONCAT(F3," \\ \hline")</f>
        <v>1 &amp; 4.0 - 4.5 &amp; 32.5 - 33.0 &amp; no data avail &amp; out of range \\ \hline</v>
      </c>
    </row>
    <row r="4" spans="1:7" x14ac:dyDescent="0.35">
      <c r="A4">
        <v>3</v>
      </c>
      <c r="B4" t="s">
        <v>46</v>
      </c>
      <c r="C4" t="s">
        <v>47</v>
      </c>
      <c r="D4" t="s">
        <v>48</v>
      </c>
      <c r="E4" t="s">
        <v>49</v>
      </c>
      <c r="F4" t="str">
        <f t="shared" si="0"/>
        <v>3 &amp; 4.0 - 4.5 &amp; 33.0 - 33.5 &amp; 28.5 - 29.0 &amp; 15.0 - 20.0</v>
      </c>
      <c r="G4" t="str">
        <f t="shared" si="1"/>
        <v>3 &amp; 4.0 - 4.5 &amp; 33.0 - 33.5 &amp; 28.5 - 29.0 &amp; 15.0 - 20.0 \\ \hline</v>
      </c>
    </row>
    <row r="5" spans="1:7" x14ac:dyDescent="0.35">
      <c r="A5">
        <v>2</v>
      </c>
      <c r="B5" t="s">
        <v>46</v>
      </c>
      <c r="C5" t="s">
        <v>47</v>
      </c>
      <c r="D5" t="s">
        <v>48</v>
      </c>
      <c r="E5" t="s">
        <v>50</v>
      </c>
      <c r="F5" t="str">
        <f t="shared" si="0"/>
        <v>2 &amp; 4.0 - 4.5 &amp; 33.0 - 33.5 &amp; 28.5 - 29.0 &amp; 20.0 - 25.0</v>
      </c>
      <c r="G5" t="str">
        <f t="shared" si="1"/>
        <v>2 &amp; 4.0 - 4.5 &amp; 33.0 - 33.5 &amp; 28.5 - 29.0 &amp; 20.0 - 25.0 \\ \hline</v>
      </c>
    </row>
    <row r="6" spans="1:7" x14ac:dyDescent="0.35">
      <c r="A6">
        <v>1</v>
      </c>
      <c r="B6" t="s">
        <v>46</v>
      </c>
      <c r="C6" t="s">
        <v>47</v>
      </c>
      <c r="D6" t="s">
        <v>48</v>
      </c>
      <c r="E6" t="s">
        <v>45</v>
      </c>
      <c r="F6" t="str">
        <f t="shared" si="0"/>
        <v>1 &amp; 4.0 - 4.5 &amp; 33.0 - 33.5 &amp; 28.5 - 29.0 &amp; out of range</v>
      </c>
      <c r="G6" t="str">
        <f t="shared" si="1"/>
        <v>1 &amp; 4.0 - 4.5 &amp; 33.0 - 33.5 &amp; 28.5 - 29.0 &amp; out of range \\ \hline</v>
      </c>
    </row>
    <row r="7" spans="1:7" x14ac:dyDescent="0.35">
      <c r="A7">
        <v>6</v>
      </c>
      <c r="B7" t="s">
        <v>51</v>
      </c>
      <c r="C7" t="s">
        <v>47</v>
      </c>
      <c r="D7" t="s">
        <v>48</v>
      </c>
      <c r="E7" t="s">
        <v>49</v>
      </c>
      <c r="F7" t="str">
        <f t="shared" si="0"/>
        <v>6 &amp; 4.5 - 5.0 &amp; 33.0 - 33.5 &amp; 28.5 - 29.0 &amp; 15.0 - 20.0</v>
      </c>
      <c r="G7" t="str">
        <f t="shared" si="1"/>
        <v>6 &amp; 4.5 - 5.0 &amp; 33.0 - 33.5 &amp; 28.5 - 29.0 &amp; 15.0 - 20.0 \\ \hline</v>
      </c>
    </row>
    <row r="8" spans="1:7" x14ac:dyDescent="0.35">
      <c r="A8">
        <v>22</v>
      </c>
      <c r="B8" t="s">
        <v>51</v>
      </c>
      <c r="C8" t="s">
        <v>47</v>
      </c>
      <c r="D8" t="s">
        <v>48</v>
      </c>
      <c r="E8" t="s">
        <v>50</v>
      </c>
      <c r="F8" t="str">
        <f t="shared" si="0"/>
        <v>22 &amp; 4.5 - 5.0 &amp; 33.0 - 33.5 &amp; 28.5 - 29.0 &amp; 20.0 - 25.0</v>
      </c>
      <c r="G8" t="str">
        <f t="shared" si="1"/>
        <v>22 &amp; 4.5 - 5.0 &amp; 33.0 - 33.5 &amp; 28.5 - 29.0 &amp; 20.0 - 25.0 \\ \hline</v>
      </c>
    </row>
    <row r="9" spans="1:7" x14ac:dyDescent="0.35">
      <c r="A9">
        <v>4</v>
      </c>
      <c r="B9" t="s">
        <v>51</v>
      </c>
      <c r="C9" t="s">
        <v>47</v>
      </c>
      <c r="D9" t="s">
        <v>48</v>
      </c>
      <c r="E9" t="s">
        <v>45</v>
      </c>
      <c r="F9" t="str">
        <f t="shared" si="0"/>
        <v>4 &amp; 4.5 - 5.0 &amp; 33.0 - 33.5 &amp; 28.5 - 29.0 &amp; out of range</v>
      </c>
      <c r="G9" t="str">
        <f t="shared" si="1"/>
        <v>4 &amp; 4.5 - 5.0 &amp; 33.0 - 33.5 &amp; 28.5 - 29.0 &amp; out of range \\ \hline</v>
      </c>
    </row>
    <row r="10" spans="1:7" x14ac:dyDescent="0.35">
      <c r="A10">
        <v>400</v>
      </c>
      <c r="B10" t="s">
        <v>44</v>
      </c>
      <c r="C10" t="s">
        <v>47</v>
      </c>
      <c r="D10" t="s">
        <v>48</v>
      </c>
      <c r="E10" t="s">
        <v>52</v>
      </c>
      <c r="F10" t="str">
        <f t="shared" si="0"/>
        <v>400 &amp; no data avail &amp; 33.0 - 33.5 &amp; 28.5 - 29.0 &amp; 10.0 - 15.0</v>
      </c>
      <c r="G10" t="str">
        <f t="shared" si="1"/>
        <v>400 &amp; no data avail &amp; 33.0 - 33.5 &amp; 28.5 - 29.0 &amp; 10.0 - 15.0 \\ \hline</v>
      </c>
    </row>
    <row r="11" spans="1:7" x14ac:dyDescent="0.35">
      <c r="A11">
        <v>33</v>
      </c>
      <c r="B11" t="s">
        <v>44</v>
      </c>
      <c r="C11" t="s">
        <v>47</v>
      </c>
      <c r="D11" t="s">
        <v>48</v>
      </c>
      <c r="E11" t="s">
        <v>49</v>
      </c>
      <c r="F11" t="str">
        <f t="shared" si="0"/>
        <v>33 &amp; no data avail &amp; 33.0 - 33.5 &amp; 28.5 - 29.0 &amp; 15.0 - 20.0</v>
      </c>
      <c r="G11" t="str">
        <f t="shared" si="1"/>
        <v>33 &amp; no data avail &amp; 33.0 - 33.5 &amp; 28.5 - 29.0 &amp; 15.0 - 20.0 \\ \hline</v>
      </c>
    </row>
    <row r="12" spans="1:7" x14ac:dyDescent="0.35">
      <c r="A12">
        <v>1567</v>
      </c>
      <c r="B12" t="s">
        <v>44</v>
      </c>
      <c r="C12" t="s">
        <v>47</v>
      </c>
      <c r="D12" t="s">
        <v>48</v>
      </c>
      <c r="E12" t="s">
        <v>50</v>
      </c>
      <c r="F12" t="str">
        <f t="shared" si="0"/>
        <v>1567 &amp; no data avail &amp; 33.0 - 33.5 &amp; 28.5 - 29.0 &amp; 20.0 - 25.0</v>
      </c>
      <c r="G12" t="str">
        <f t="shared" si="1"/>
        <v>1567 &amp; no data avail &amp; 33.0 - 33.5 &amp; 28.5 - 29.0 &amp; 20.0 - 25.0 \\ \hline</v>
      </c>
    </row>
    <row r="13" spans="1:7" x14ac:dyDescent="0.35">
      <c r="A13">
        <v>2</v>
      </c>
      <c r="B13" t="s">
        <v>44</v>
      </c>
      <c r="C13" t="s">
        <v>47</v>
      </c>
      <c r="D13" t="s">
        <v>48</v>
      </c>
      <c r="E13" t="s">
        <v>53</v>
      </c>
      <c r="F13" t="str">
        <f t="shared" si="0"/>
        <v>2 &amp; no data avail &amp; 33.0 - 33.5 &amp; 28.5 - 29.0 &amp; 5.0 - 10.0</v>
      </c>
      <c r="G13" t="str">
        <f t="shared" si="1"/>
        <v>2 &amp; no data avail &amp; 33.0 - 33.5 &amp; 28.5 - 29.0 &amp; 5.0 - 10.0 \\ \hline</v>
      </c>
    </row>
    <row r="14" spans="1:7" x14ac:dyDescent="0.35">
      <c r="A14">
        <v>117</v>
      </c>
      <c r="B14" t="s">
        <v>44</v>
      </c>
      <c r="C14" t="s">
        <v>47</v>
      </c>
      <c r="D14" t="s">
        <v>48</v>
      </c>
      <c r="E14" t="s">
        <v>44</v>
      </c>
      <c r="F14" t="str">
        <f t="shared" si="0"/>
        <v>117 &amp; no data avail &amp; 33.0 - 33.5 &amp; 28.5 - 29.0 &amp; no data avail</v>
      </c>
      <c r="G14" t="str">
        <f t="shared" si="1"/>
        <v>117 &amp; no data avail &amp; 33.0 - 33.5 &amp; 28.5 - 29.0 &amp; no data avail \\ \hline</v>
      </c>
    </row>
    <row r="15" spans="1:7" x14ac:dyDescent="0.35">
      <c r="A15">
        <v>437</v>
      </c>
      <c r="B15" t="s">
        <v>44</v>
      </c>
      <c r="C15" t="s">
        <v>47</v>
      </c>
      <c r="D15" t="s">
        <v>54</v>
      </c>
      <c r="E15" t="s">
        <v>55</v>
      </c>
      <c r="F15" t="str">
        <f t="shared" si="0"/>
        <v>437 &amp; no data avail &amp; 33.0 - 33.5 &amp; 29.0 - 29.5 &amp; 0.0 - 5.0</v>
      </c>
      <c r="G15" t="str">
        <f t="shared" si="1"/>
        <v>437 &amp; no data avail &amp; 33.0 - 33.5 &amp; 29.0 - 29.5 &amp; 0.0 - 5.0 \\ \hline</v>
      </c>
    </row>
    <row r="16" spans="1:7" x14ac:dyDescent="0.35">
      <c r="A16">
        <v>1430</v>
      </c>
      <c r="B16" t="s">
        <v>44</v>
      </c>
      <c r="C16" t="s">
        <v>47</v>
      </c>
      <c r="D16" t="s">
        <v>54</v>
      </c>
      <c r="E16" t="s">
        <v>52</v>
      </c>
      <c r="F16" t="str">
        <f t="shared" si="0"/>
        <v>1430 &amp; no data avail &amp; 33.0 - 33.5 &amp; 29.0 - 29.5 &amp; 10.0 - 15.0</v>
      </c>
      <c r="G16" t="str">
        <f t="shared" si="1"/>
        <v>1430 &amp; no data avail &amp; 33.0 - 33.5 &amp; 29.0 - 29.5 &amp; 10.0 - 15.0 \\ \hline</v>
      </c>
    </row>
    <row r="17" spans="1:7" x14ac:dyDescent="0.35">
      <c r="A17">
        <v>392</v>
      </c>
      <c r="B17" t="s">
        <v>44</v>
      </c>
      <c r="C17" t="s">
        <v>47</v>
      </c>
      <c r="D17" t="s">
        <v>54</v>
      </c>
      <c r="E17" t="s">
        <v>49</v>
      </c>
      <c r="F17" t="str">
        <f t="shared" si="0"/>
        <v>392 &amp; no data avail &amp; 33.0 - 33.5 &amp; 29.0 - 29.5 &amp; 15.0 - 20.0</v>
      </c>
      <c r="G17" t="str">
        <f t="shared" si="1"/>
        <v>392 &amp; no data avail &amp; 33.0 - 33.5 &amp; 29.0 - 29.5 &amp; 15.0 - 20.0 \\ \hline</v>
      </c>
    </row>
    <row r="18" spans="1:7" x14ac:dyDescent="0.35">
      <c r="A18">
        <v>87</v>
      </c>
      <c r="B18" t="s">
        <v>44</v>
      </c>
      <c r="C18" t="s">
        <v>47</v>
      </c>
      <c r="D18" t="s">
        <v>54</v>
      </c>
      <c r="E18" t="s">
        <v>50</v>
      </c>
      <c r="F18" t="str">
        <f t="shared" si="0"/>
        <v>87 &amp; no data avail &amp; 33.0 - 33.5 &amp; 29.0 - 29.5 &amp; 20.0 - 25.0</v>
      </c>
      <c r="G18" t="str">
        <f t="shared" si="1"/>
        <v>87 &amp; no data avail &amp; 33.0 - 33.5 &amp; 29.0 - 29.5 &amp; 20.0 - 25.0 \\ \hline</v>
      </c>
    </row>
    <row r="19" spans="1:7" x14ac:dyDescent="0.35">
      <c r="A19">
        <v>219</v>
      </c>
      <c r="B19" t="s">
        <v>44</v>
      </c>
      <c r="C19" t="s">
        <v>47</v>
      </c>
      <c r="D19" t="s">
        <v>54</v>
      </c>
      <c r="E19" t="s">
        <v>53</v>
      </c>
      <c r="F19" t="str">
        <f t="shared" si="0"/>
        <v>219 &amp; no data avail &amp; 33.0 - 33.5 &amp; 29.0 - 29.5 &amp; 5.0 - 10.0</v>
      </c>
      <c r="G19" t="str">
        <f t="shared" si="1"/>
        <v>219 &amp; no data avail &amp; 33.0 - 33.5 &amp; 29.0 - 29.5 &amp; 5.0 - 10.0 \\ \hline</v>
      </c>
    </row>
    <row r="20" spans="1:7" x14ac:dyDescent="0.35">
      <c r="A20">
        <v>17</v>
      </c>
      <c r="B20" t="s">
        <v>44</v>
      </c>
      <c r="C20" t="s">
        <v>47</v>
      </c>
      <c r="D20" t="s">
        <v>54</v>
      </c>
      <c r="E20" t="s">
        <v>45</v>
      </c>
      <c r="F20" t="str">
        <f t="shared" si="0"/>
        <v>17 &amp; no data avail &amp; 33.0 - 33.5 &amp; 29.0 - 29.5 &amp; out of range</v>
      </c>
      <c r="G20" t="str">
        <f t="shared" si="1"/>
        <v>17 &amp; no data avail &amp; 33.0 - 33.5 &amp; 29.0 - 29.5 &amp; out of range \\ \hline</v>
      </c>
    </row>
    <row r="21" spans="1:7" x14ac:dyDescent="0.35">
      <c r="A21">
        <v>1</v>
      </c>
      <c r="B21" t="s">
        <v>44</v>
      </c>
      <c r="C21" t="s">
        <v>47</v>
      </c>
      <c r="D21" t="s">
        <v>44</v>
      </c>
      <c r="E21" t="s">
        <v>45</v>
      </c>
      <c r="F21" t="str">
        <f t="shared" si="0"/>
        <v>1 &amp; no data avail &amp; 33.0 - 33.5 &amp; no data avail &amp; out of range</v>
      </c>
      <c r="G21" t="str">
        <f t="shared" si="1"/>
        <v>1 &amp; no data avail &amp; 33.0 - 33.5 &amp; no data avail &amp; out of range \\ \hline</v>
      </c>
    </row>
    <row r="22" spans="1:7" x14ac:dyDescent="0.35">
      <c r="A22">
        <v>8</v>
      </c>
      <c r="B22" t="s">
        <v>45</v>
      </c>
      <c r="C22" t="s">
        <v>43</v>
      </c>
      <c r="D22" t="s">
        <v>54</v>
      </c>
      <c r="E22" t="s">
        <v>52</v>
      </c>
      <c r="F22" t="str">
        <f t="shared" si="0"/>
        <v>8 &amp; out of range &amp; 32.5 - 33.0 &amp; 29.0 - 29.5 &amp; 10.0 - 15.0</v>
      </c>
      <c r="G22" t="str">
        <f t="shared" si="1"/>
        <v>8 &amp; out of range &amp; 32.5 - 33.0 &amp; 29.0 - 29.5 &amp; 10.0 - 15.0 \\ \hline</v>
      </c>
    </row>
    <row r="23" spans="1:7" x14ac:dyDescent="0.35">
      <c r="A23">
        <v>1</v>
      </c>
      <c r="B23" t="s">
        <v>45</v>
      </c>
      <c r="C23" t="s">
        <v>43</v>
      </c>
      <c r="D23" t="s">
        <v>54</v>
      </c>
      <c r="E23" t="s">
        <v>50</v>
      </c>
      <c r="F23" t="str">
        <f t="shared" si="0"/>
        <v>1 &amp; out of range &amp; 32.5 - 33.0 &amp; 29.0 - 29.5 &amp; 20.0 - 25.0</v>
      </c>
      <c r="G23" t="str">
        <f t="shared" si="1"/>
        <v>1 &amp; out of range &amp; 32.5 - 33.0 &amp; 29.0 - 29.5 &amp; 20.0 - 25.0 \\ \hline</v>
      </c>
    </row>
    <row r="24" spans="1:7" x14ac:dyDescent="0.35">
      <c r="A24">
        <v>3</v>
      </c>
      <c r="B24" t="s">
        <v>45</v>
      </c>
      <c r="C24" t="s">
        <v>43</v>
      </c>
      <c r="D24" t="s">
        <v>44</v>
      </c>
      <c r="E24" t="s">
        <v>45</v>
      </c>
      <c r="F24" t="str">
        <f t="shared" si="0"/>
        <v>3 &amp; out of range &amp; 32.5 - 33.0 &amp; no data avail &amp; out of range</v>
      </c>
      <c r="G24" t="str">
        <f t="shared" si="1"/>
        <v>3 &amp; out of range &amp; 32.5 - 33.0 &amp; no data avail &amp; out of range \\ \hline</v>
      </c>
    </row>
    <row r="25" spans="1:7" x14ac:dyDescent="0.35">
      <c r="A25">
        <v>3</v>
      </c>
      <c r="B25" t="s">
        <v>45</v>
      </c>
      <c r="C25" t="s">
        <v>47</v>
      </c>
      <c r="D25" t="s">
        <v>48</v>
      </c>
      <c r="E25" t="s">
        <v>52</v>
      </c>
      <c r="F25" t="str">
        <f t="shared" si="0"/>
        <v>3 &amp; out of range &amp; 33.0 - 33.5 &amp; 28.5 - 29.0 &amp; 10.0 - 15.0</v>
      </c>
      <c r="G25" t="str">
        <f t="shared" si="1"/>
        <v>3 &amp; out of range &amp; 33.0 - 33.5 &amp; 28.5 - 29.0 &amp; 10.0 - 15.0 \\ \hline</v>
      </c>
    </row>
    <row r="26" spans="1:7" x14ac:dyDescent="0.35">
      <c r="A26">
        <v>248</v>
      </c>
      <c r="B26" t="s">
        <v>45</v>
      </c>
      <c r="C26" t="s">
        <v>47</v>
      </c>
      <c r="D26" t="s">
        <v>48</v>
      </c>
      <c r="E26" t="s">
        <v>49</v>
      </c>
      <c r="F26" t="str">
        <f t="shared" si="0"/>
        <v>248 &amp; out of range &amp; 33.0 - 33.5 &amp; 28.5 - 29.0 &amp; 15.0 - 20.0</v>
      </c>
      <c r="G26" t="str">
        <f t="shared" si="1"/>
        <v>248 &amp; out of range &amp; 33.0 - 33.5 &amp; 28.5 - 29.0 &amp; 15.0 - 20.0 \\ \hline</v>
      </c>
    </row>
    <row r="27" spans="1:7" x14ac:dyDescent="0.35">
      <c r="A27">
        <v>63</v>
      </c>
      <c r="B27" t="s">
        <v>45</v>
      </c>
      <c r="C27" t="s">
        <v>47</v>
      </c>
      <c r="D27" t="s">
        <v>48</v>
      </c>
      <c r="E27" t="s">
        <v>50</v>
      </c>
      <c r="F27" t="str">
        <f t="shared" si="0"/>
        <v>63 &amp; out of range &amp; 33.0 - 33.5 &amp; 28.5 - 29.0 &amp; 20.0 - 25.0</v>
      </c>
      <c r="G27" t="str">
        <f t="shared" si="1"/>
        <v>63 &amp; out of range &amp; 33.0 - 33.5 &amp; 28.5 - 29.0 &amp; 20.0 - 25.0 \\ \hline</v>
      </c>
    </row>
    <row r="28" spans="1:7" x14ac:dyDescent="0.35">
      <c r="A28">
        <v>1</v>
      </c>
      <c r="B28" t="s">
        <v>45</v>
      </c>
      <c r="C28" t="s">
        <v>47</v>
      </c>
      <c r="D28" t="s">
        <v>48</v>
      </c>
      <c r="E28" t="s">
        <v>53</v>
      </c>
      <c r="F28" t="str">
        <f t="shared" si="0"/>
        <v>1 &amp; out of range &amp; 33.0 - 33.5 &amp; 28.5 - 29.0 &amp; 5.0 - 10.0</v>
      </c>
      <c r="G28" t="str">
        <f t="shared" si="1"/>
        <v>1 &amp; out of range &amp; 33.0 - 33.5 &amp; 28.5 - 29.0 &amp; 5.0 - 10.0 \\ \hline</v>
      </c>
    </row>
    <row r="29" spans="1:7" x14ac:dyDescent="0.35">
      <c r="A29">
        <v>11</v>
      </c>
      <c r="B29" t="s">
        <v>45</v>
      </c>
      <c r="C29" t="s">
        <v>47</v>
      </c>
      <c r="D29" t="s">
        <v>48</v>
      </c>
      <c r="E29" t="s">
        <v>44</v>
      </c>
      <c r="F29" t="str">
        <f t="shared" si="0"/>
        <v>11 &amp; out of range &amp; 33.0 - 33.5 &amp; 28.5 - 29.0 &amp; no data avail</v>
      </c>
      <c r="G29" t="str">
        <f t="shared" si="1"/>
        <v>11 &amp; out of range &amp; 33.0 - 33.5 &amp; 28.5 - 29.0 &amp; no data avail \\ \hline</v>
      </c>
    </row>
    <row r="30" spans="1:7" x14ac:dyDescent="0.35">
      <c r="A30">
        <v>16</v>
      </c>
      <c r="B30" t="s">
        <v>45</v>
      </c>
      <c r="C30" t="s">
        <v>47</v>
      </c>
      <c r="D30" t="s">
        <v>48</v>
      </c>
      <c r="E30" t="s">
        <v>45</v>
      </c>
      <c r="F30" t="str">
        <f t="shared" si="0"/>
        <v>16 &amp; out of range &amp; 33.0 - 33.5 &amp; 28.5 - 29.0 &amp; out of range</v>
      </c>
      <c r="G30" t="str">
        <f t="shared" si="1"/>
        <v>16 &amp; out of range &amp; 33.0 - 33.5 &amp; 28.5 - 29.0 &amp; out of range \\ \hline</v>
      </c>
    </row>
    <row r="31" spans="1:7" x14ac:dyDescent="0.35">
      <c r="A31">
        <v>7</v>
      </c>
      <c r="B31" t="s">
        <v>45</v>
      </c>
      <c r="C31" t="s">
        <v>47</v>
      </c>
      <c r="D31" t="s">
        <v>54</v>
      </c>
      <c r="E31" t="s">
        <v>55</v>
      </c>
      <c r="F31" t="str">
        <f t="shared" si="0"/>
        <v>7 &amp; out of range &amp; 33.0 - 33.5 &amp; 29.0 - 29.5 &amp; 0.0 - 5.0</v>
      </c>
      <c r="G31" t="str">
        <f t="shared" si="1"/>
        <v>7 &amp; out of range &amp; 33.0 - 33.5 &amp; 29.0 - 29.5 &amp; 0.0 - 5.0 \\ \hline</v>
      </c>
    </row>
    <row r="32" spans="1:7" x14ac:dyDescent="0.35">
      <c r="A32">
        <v>1</v>
      </c>
      <c r="B32" t="s">
        <v>45</v>
      </c>
      <c r="C32" t="s">
        <v>47</v>
      </c>
      <c r="D32" t="s">
        <v>54</v>
      </c>
      <c r="E32" t="s">
        <v>52</v>
      </c>
      <c r="F32" t="str">
        <f t="shared" si="0"/>
        <v>1 &amp; out of range &amp; 33.0 - 33.5 &amp; 29.0 - 29.5 &amp; 10.0 - 15.0</v>
      </c>
      <c r="G32" t="str">
        <f t="shared" si="1"/>
        <v>1 &amp; out of range &amp; 33.0 - 33.5 &amp; 29.0 - 29.5 &amp; 10.0 - 15.0 \\ \hline</v>
      </c>
    </row>
    <row r="33" spans="1:7" x14ac:dyDescent="0.35">
      <c r="A33">
        <v>237</v>
      </c>
      <c r="B33" t="s">
        <v>45</v>
      </c>
      <c r="C33" t="s">
        <v>47</v>
      </c>
      <c r="D33" t="s">
        <v>54</v>
      </c>
      <c r="E33" t="s">
        <v>53</v>
      </c>
      <c r="F33" t="str">
        <f t="shared" si="0"/>
        <v>237 &amp; out of range &amp; 33.0 - 33.5 &amp; 29.0 - 29.5 &amp; 5.0 - 10.0</v>
      </c>
      <c r="G33" t="str">
        <f t="shared" si="1"/>
        <v>237 &amp; out of range &amp; 33.0 - 33.5 &amp; 29.0 - 29.5 &amp; 5.0 - 10.0 \\ \hline</v>
      </c>
    </row>
    <row r="34" spans="1:7" x14ac:dyDescent="0.35">
      <c r="A34">
        <v>2</v>
      </c>
      <c r="B34" t="s">
        <v>45</v>
      </c>
      <c r="C34" t="s">
        <v>47</v>
      </c>
      <c r="D34" t="s">
        <v>44</v>
      </c>
      <c r="E34" t="s">
        <v>45</v>
      </c>
      <c r="F34" t="str">
        <f t="shared" si="0"/>
        <v>2 &amp; out of range &amp; 33.0 - 33.5 &amp; no data avail &amp; out of range</v>
      </c>
      <c r="G34" t="str">
        <f t="shared" si="1"/>
        <v>2 &amp; out of range &amp; 33.0 - 33.5 &amp; no data avail &amp; out of range \\ \hline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A0B97-A916-44EA-8384-F357CC60BF3C}">
  <dimension ref="A1:G20"/>
  <sheetViews>
    <sheetView workbookViewId="0">
      <selection activeCell="F2" sqref="F2:G2"/>
    </sheetView>
  </sheetViews>
  <sheetFormatPr defaultRowHeight="14.5" x14ac:dyDescent="0.35"/>
  <cols>
    <col min="1" max="1" width="11.26953125" bestFit="1" customWidth="1"/>
    <col min="2" max="2" width="11" bestFit="1" customWidth="1"/>
    <col min="3" max="3" width="9.453125" bestFit="1" customWidth="1"/>
    <col min="4" max="5" width="11.453125" bestFit="1" customWidth="1"/>
    <col min="6" max="6" width="51.90625" bestFit="1" customWidth="1"/>
    <col min="7" max="7" width="55.453125" bestFit="1" customWidth="1"/>
  </cols>
  <sheetData>
    <row r="1" spans="1:7" x14ac:dyDescent="0.35">
      <c r="A1" t="s">
        <v>41</v>
      </c>
      <c r="B1" t="s">
        <v>37</v>
      </c>
      <c r="C1" t="s">
        <v>38</v>
      </c>
      <c r="D1" t="s">
        <v>39</v>
      </c>
      <c r="E1" t="s">
        <v>40</v>
      </c>
    </row>
    <row r="2" spans="1:7" x14ac:dyDescent="0.35">
      <c r="A2">
        <v>1</v>
      </c>
      <c r="B2" t="s">
        <v>56</v>
      </c>
      <c r="C2" t="s">
        <v>43</v>
      </c>
      <c r="D2" t="s">
        <v>44</v>
      </c>
      <c r="E2" t="s">
        <v>45</v>
      </c>
      <c r="F2" t="str">
        <f>_xlfn.TEXTJOIN(" &amp; ",TRUE,A2:E2)</f>
        <v>1 &amp; 3.0 - 3.5 &amp; 32.5 - 33.0 &amp; no data avail &amp; out of range</v>
      </c>
      <c r="G2" t="str">
        <f>_xlfn.CONCAT(F2," \\ \hline")</f>
        <v>1 &amp; 3.0 - 3.5 &amp; 32.5 - 33.0 &amp; no data avail &amp; out of range \\ \hline</v>
      </c>
    </row>
    <row r="3" spans="1:7" x14ac:dyDescent="0.35">
      <c r="A3">
        <v>1</v>
      </c>
      <c r="B3" t="s">
        <v>46</v>
      </c>
      <c r="C3" t="s">
        <v>43</v>
      </c>
      <c r="D3" t="s">
        <v>44</v>
      </c>
      <c r="E3" t="s">
        <v>45</v>
      </c>
      <c r="F3" t="str">
        <f t="shared" ref="F3:F20" si="0">_xlfn.TEXTJOIN(" &amp; ",TRUE,A3:E3)</f>
        <v>1 &amp; 4.0 - 4.5 &amp; 32.5 - 33.0 &amp; no data avail &amp; out of range</v>
      </c>
      <c r="G3" t="str">
        <f t="shared" ref="G3:G20" si="1">_xlfn.CONCAT(F3," \\ \hline")</f>
        <v>1 &amp; 4.0 - 4.5 &amp; 32.5 - 33.0 &amp; no data avail &amp; out of range \\ \hline</v>
      </c>
    </row>
    <row r="4" spans="1:7" x14ac:dyDescent="0.35">
      <c r="A4">
        <v>2</v>
      </c>
      <c r="B4" t="s">
        <v>51</v>
      </c>
      <c r="C4" t="s">
        <v>43</v>
      </c>
      <c r="D4" t="s">
        <v>44</v>
      </c>
      <c r="E4" t="s">
        <v>45</v>
      </c>
      <c r="F4" t="str">
        <f t="shared" si="0"/>
        <v>2 &amp; 4.5 - 5.0 &amp; 32.5 - 33.0 &amp; no data avail &amp; out of range</v>
      </c>
      <c r="G4" t="str">
        <f t="shared" si="1"/>
        <v>2 &amp; 4.5 - 5.0 &amp; 32.5 - 33.0 &amp; no data avail &amp; out of range \\ \hline</v>
      </c>
    </row>
    <row r="5" spans="1:7" x14ac:dyDescent="0.35">
      <c r="A5">
        <v>8</v>
      </c>
      <c r="B5" t="s">
        <v>45</v>
      </c>
      <c r="C5" t="s">
        <v>43</v>
      </c>
      <c r="D5" t="s">
        <v>54</v>
      </c>
      <c r="E5" t="s">
        <v>52</v>
      </c>
      <c r="F5" t="str">
        <f t="shared" si="0"/>
        <v>8 &amp; out of range &amp; 32.5 - 33.0 &amp; 29.0 - 29.5 &amp; 10.0 - 15.0</v>
      </c>
      <c r="G5" t="str">
        <f t="shared" si="1"/>
        <v>8 &amp; out of range &amp; 32.5 - 33.0 &amp; 29.0 - 29.5 &amp; 10.0 - 15.0 \\ \hline</v>
      </c>
    </row>
    <row r="6" spans="1:7" x14ac:dyDescent="0.35">
      <c r="A6">
        <v>1</v>
      </c>
      <c r="B6" t="s">
        <v>45</v>
      </c>
      <c r="C6" t="s">
        <v>43</v>
      </c>
      <c r="D6" t="s">
        <v>54</v>
      </c>
      <c r="E6" t="s">
        <v>50</v>
      </c>
      <c r="F6" t="str">
        <f t="shared" si="0"/>
        <v>1 &amp; out of range &amp; 32.5 - 33.0 &amp; 29.0 - 29.5 &amp; 20.0 - 25.0</v>
      </c>
      <c r="G6" t="str">
        <f t="shared" si="1"/>
        <v>1 &amp; out of range &amp; 32.5 - 33.0 &amp; 29.0 - 29.5 &amp; 20.0 - 25.0 \\ \hline</v>
      </c>
    </row>
    <row r="7" spans="1:7" x14ac:dyDescent="0.35">
      <c r="A7">
        <v>2</v>
      </c>
      <c r="B7" t="s">
        <v>45</v>
      </c>
      <c r="C7" t="s">
        <v>43</v>
      </c>
      <c r="D7" t="s">
        <v>44</v>
      </c>
      <c r="E7" t="s">
        <v>45</v>
      </c>
      <c r="F7" t="str">
        <f t="shared" si="0"/>
        <v>2 &amp; out of range &amp; 32.5 - 33.0 &amp; no data avail &amp; out of range</v>
      </c>
      <c r="G7" t="str">
        <f t="shared" si="1"/>
        <v>2 &amp; out of range &amp; 32.5 - 33.0 &amp; no data avail &amp; out of range \\ \hline</v>
      </c>
    </row>
    <row r="8" spans="1:7" x14ac:dyDescent="0.35">
      <c r="A8">
        <v>403</v>
      </c>
      <c r="B8" t="s">
        <v>45</v>
      </c>
      <c r="C8" t="s">
        <v>47</v>
      </c>
      <c r="D8" t="s">
        <v>48</v>
      </c>
      <c r="E8" t="s">
        <v>52</v>
      </c>
      <c r="F8" t="str">
        <f t="shared" si="0"/>
        <v>403 &amp; out of range &amp; 33.0 - 33.5 &amp; 28.5 - 29.0 &amp; 10.0 - 15.0</v>
      </c>
      <c r="G8" t="str">
        <f t="shared" si="1"/>
        <v>403 &amp; out of range &amp; 33.0 - 33.5 &amp; 28.5 - 29.0 &amp; 10.0 - 15.0 \\ \hline</v>
      </c>
    </row>
    <row r="9" spans="1:7" x14ac:dyDescent="0.35">
      <c r="A9">
        <v>290</v>
      </c>
      <c r="B9" t="s">
        <v>45</v>
      </c>
      <c r="C9" t="s">
        <v>47</v>
      </c>
      <c r="D9" t="s">
        <v>48</v>
      </c>
      <c r="E9" t="s">
        <v>49</v>
      </c>
      <c r="F9" t="str">
        <f t="shared" si="0"/>
        <v>290 &amp; out of range &amp; 33.0 - 33.5 &amp; 28.5 - 29.0 &amp; 15.0 - 20.0</v>
      </c>
      <c r="G9" t="str">
        <f t="shared" si="1"/>
        <v>290 &amp; out of range &amp; 33.0 - 33.5 &amp; 28.5 - 29.0 &amp; 15.0 - 20.0 \\ \hline</v>
      </c>
    </row>
    <row r="10" spans="1:7" x14ac:dyDescent="0.35">
      <c r="A10">
        <v>1654</v>
      </c>
      <c r="B10" t="s">
        <v>45</v>
      </c>
      <c r="C10" t="s">
        <v>47</v>
      </c>
      <c r="D10" t="s">
        <v>48</v>
      </c>
      <c r="E10" t="s">
        <v>50</v>
      </c>
      <c r="F10" t="str">
        <f t="shared" si="0"/>
        <v>1654 &amp; out of range &amp; 33.0 - 33.5 &amp; 28.5 - 29.0 &amp; 20.0 - 25.0</v>
      </c>
      <c r="G10" t="str">
        <f t="shared" si="1"/>
        <v>1654 &amp; out of range &amp; 33.0 - 33.5 &amp; 28.5 - 29.0 &amp; 20.0 - 25.0 \\ \hline</v>
      </c>
    </row>
    <row r="11" spans="1:7" x14ac:dyDescent="0.35">
      <c r="A11">
        <v>3</v>
      </c>
      <c r="B11" t="s">
        <v>45</v>
      </c>
      <c r="C11" t="s">
        <v>47</v>
      </c>
      <c r="D11" t="s">
        <v>48</v>
      </c>
      <c r="E11" t="s">
        <v>53</v>
      </c>
      <c r="F11" t="str">
        <f t="shared" si="0"/>
        <v>3 &amp; out of range &amp; 33.0 - 33.5 &amp; 28.5 - 29.0 &amp; 5.0 - 10.0</v>
      </c>
      <c r="G11" t="str">
        <f t="shared" si="1"/>
        <v>3 &amp; out of range &amp; 33.0 - 33.5 &amp; 28.5 - 29.0 &amp; 5.0 - 10.0 \\ \hline</v>
      </c>
    </row>
    <row r="12" spans="1:7" x14ac:dyDescent="0.35">
      <c r="A12">
        <v>128</v>
      </c>
      <c r="B12" t="s">
        <v>45</v>
      </c>
      <c r="C12" t="s">
        <v>47</v>
      </c>
      <c r="D12" t="s">
        <v>48</v>
      </c>
      <c r="E12" t="s">
        <v>44</v>
      </c>
      <c r="F12" t="str">
        <f t="shared" si="0"/>
        <v>128 &amp; out of range &amp; 33.0 - 33.5 &amp; 28.5 - 29.0 &amp; no data avail</v>
      </c>
      <c r="G12" t="str">
        <f t="shared" si="1"/>
        <v>128 &amp; out of range &amp; 33.0 - 33.5 &amp; 28.5 - 29.0 &amp; no data avail \\ \hline</v>
      </c>
    </row>
    <row r="13" spans="1:7" x14ac:dyDescent="0.35">
      <c r="A13">
        <v>21</v>
      </c>
      <c r="B13" t="s">
        <v>45</v>
      </c>
      <c r="C13" t="s">
        <v>47</v>
      </c>
      <c r="D13" t="s">
        <v>48</v>
      </c>
      <c r="E13" t="s">
        <v>45</v>
      </c>
      <c r="F13" t="str">
        <f t="shared" si="0"/>
        <v>21 &amp; out of range &amp; 33.0 - 33.5 &amp; 28.5 - 29.0 &amp; out of range</v>
      </c>
      <c r="G13" t="str">
        <f t="shared" si="1"/>
        <v>21 &amp; out of range &amp; 33.0 - 33.5 &amp; 28.5 - 29.0 &amp; out of range \\ \hline</v>
      </c>
    </row>
    <row r="14" spans="1:7" x14ac:dyDescent="0.35">
      <c r="A14">
        <v>444</v>
      </c>
      <c r="B14" t="s">
        <v>45</v>
      </c>
      <c r="C14" t="s">
        <v>47</v>
      </c>
      <c r="D14" t="s">
        <v>54</v>
      </c>
      <c r="E14" t="s">
        <v>55</v>
      </c>
      <c r="F14" t="str">
        <f t="shared" si="0"/>
        <v>444 &amp; out of range &amp; 33.0 - 33.5 &amp; 29.0 - 29.5 &amp; 0.0 - 5.0</v>
      </c>
      <c r="G14" t="str">
        <f t="shared" si="1"/>
        <v>444 &amp; out of range &amp; 33.0 - 33.5 &amp; 29.0 - 29.5 &amp; 0.0 - 5.0 \\ \hline</v>
      </c>
    </row>
    <row r="15" spans="1:7" x14ac:dyDescent="0.35">
      <c r="A15">
        <v>1431</v>
      </c>
      <c r="B15" t="s">
        <v>45</v>
      </c>
      <c r="C15" t="s">
        <v>47</v>
      </c>
      <c r="D15" t="s">
        <v>54</v>
      </c>
      <c r="E15" t="s">
        <v>52</v>
      </c>
      <c r="F15" t="str">
        <f t="shared" si="0"/>
        <v>1431 &amp; out of range &amp; 33.0 - 33.5 &amp; 29.0 - 29.5 &amp; 10.0 - 15.0</v>
      </c>
      <c r="G15" t="str">
        <f t="shared" si="1"/>
        <v>1431 &amp; out of range &amp; 33.0 - 33.5 &amp; 29.0 - 29.5 &amp; 10.0 - 15.0 \\ \hline</v>
      </c>
    </row>
    <row r="16" spans="1:7" x14ac:dyDescent="0.35">
      <c r="A16">
        <v>392</v>
      </c>
      <c r="B16" t="s">
        <v>45</v>
      </c>
      <c r="C16" t="s">
        <v>47</v>
      </c>
      <c r="D16" t="s">
        <v>54</v>
      </c>
      <c r="E16" t="s">
        <v>49</v>
      </c>
      <c r="F16" t="str">
        <f t="shared" si="0"/>
        <v>392 &amp; out of range &amp; 33.0 - 33.5 &amp; 29.0 - 29.5 &amp; 15.0 - 20.0</v>
      </c>
      <c r="G16" t="str">
        <f t="shared" si="1"/>
        <v>392 &amp; out of range &amp; 33.0 - 33.5 &amp; 29.0 - 29.5 &amp; 15.0 - 20.0 \\ \hline</v>
      </c>
    </row>
    <row r="17" spans="1:7" x14ac:dyDescent="0.35">
      <c r="A17">
        <v>87</v>
      </c>
      <c r="B17" t="s">
        <v>45</v>
      </c>
      <c r="C17" t="s">
        <v>47</v>
      </c>
      <c r="D17" t="s">
        <v>54</v>
      </c>
      <c r="E17" t="s">
        <v>50</v>
      </c>
      <c r="F17" t="str">
        <f t="shared" si="0"/>
        <v>87 &amp; out of range &amp; 33.0 - 33.5 &amp; 29.0 - 29.5 &amp; 20.0 - 25.0</v>
      </c>
      <c r="G17" t="str">
        <f t="shared" si="1"/>
        <v>87 &amp; out of range &amp; 33.0 - 33.5 &amp; 29.0 - 29.5 &amp; 20.0 - 25.0 \\ \hline</v>
      </c>
    </row>
    <row r="18" spans="1:7" x14ac:dyDescent="0.35">
      <c r="A18">
        <v>456</v>
      </c>
      <c r="B18" t="s">
        <v>45</v>
      </c>
      <c r="C18" t="s">
        <v>47</v>
      </c>
      <c r="D18" t="s">
        <v>54</v>
      </c>
      <c r="E18" t="s">
        <v>53</v>
      </c>
      <c r="F18" t="str">
        <f t="shared" si="0"/>
        <v>456 &amp; out of range &amp; 33.0 - 33.5 &amp; 29.0 - 29.5 &amp; 5.0 - 10.0</v>
      </c>
      <c r="G18" t="str">
        <f t="shared" si="1"/>
        <v>456 &amp; out of range &amp; 33.0 - 33.5 &amp; 29.0 - 29.5 &amp; 5.0 - 10.0 \\ \hline</v>
      </c>
    </row>
    <row r="19" spans="1:7" x14ac:dyDescent="0.35">
      <c r="A19">
        <v>17</v>
      </c>
      <c r="B19" t="s">
        <v>45</v>
      </c>
      <c r="C19" t="s">
        <v>47</v>
      </c>
      <c r="D19" t="s">
        <v>54</v>
      </c>
      <c r="E19" t="s">
        <v>45</v>
      </c>
      <c r="F19" t="str">
        <f t="shared" si="0"/>
        <v>17 &amp; out of range &amp; 33.0 - 33.5 &amp; 29.0 - 29.5 &amp; out of range</v>
      </c>
      <c r="G19" t="str">
        <f t="shared" si="1"/>
        <v>17 &amp; out of range &amp; 33.0 - 33.5 &amp; 29.0 - 29.5 &amp; out of range \\ \hline</v>
      </c>
    </row>
    <row r="20" spans="1:7" x14ac:dyDescent="0.35">
      <c r="A20">
        <v>3</v>
      </c>
      <c r="B20" t="s">
        <v>45</v>
      </c>
      <c r="C20" t="s">
        <v>47</v>
      </c>
      <c r="D20" t="s">
        <v>44</v>
      </c>
      <c r="E20" t="s">
        <v>45</v>
      </c>
      <c r="F20" t="str">
        <f t="shared" si="0"/>
        <v>3 &amp; out of range &amp; 33.0 - 33.5 &amp; no data avail &amp; out of range</v>
      </c>
      <c r="G20" t="str">
        <f t="shared" si="1"/>
        <v>3 &amp; out of range &amp; 33.0 - 33.5 &amp; no data avail &amp; out of range \\ \hline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69402-0DE1-4C91-AADC-4D6C71906B89}">
  <sheetPr filterMode="1"/>
  <dimension ref="A1:G162"/>
  <sheetViews>
    <sheetView workbookViewId="0">
      <selection activeCell="F3" sqref="F3:G3"/>
    </sheetView>
  </sheetViews>
  <sheetFormatPr defaultRowHeight="14.5" x14ac:dyDescent="0.35"/>
  <cols>
    <col min="1" max="1" width="11.26953125" bestFit="1" customWidth="1"/>
    <col min="2" max="5" width="11.453125" bestFit="1" customWidth="1"/>
    <col min="6" max="6" width="45.81640625" bestFit="1" customWidth="1"/>
    <col min="7" max="7" width="53.36328125" bestFit="1" customWidth="1"/>
  </cols>
  <sheetData>
    <row r="1" spans="1:7" x14ac:dyDescent="0.35">
      <c r="A1" t="s">
        <v>41</v>
      </c>
      <c r="B1" t="s">
        <v>37</v>
      </c>
      <c r="C1" t="s">
        <v>38</v>
      </c>
      <c r="D1" t="s">
        <v>39</v>
      </c>
      <c r="E1" t="s">
        <v>40</v>
      </c>
    </row>
    <row r="2" spans="1:7" hidden="1" x14ac:dyDescent="0.35">
      <c r="A2">
        <v>3</v>
      </c>
      <c r="B2" t="s">
        <v>46</v>
      </c>
      <c r="C2" t="s">
        <v>43</v>
      </c>
      <c r="D2" t="s">
        <v>48</v>
      </c>
      <c r="E2" t="s">
        <v>45</v>
      </c>
      <c r="F2" t="str">
        <f>_xlfn.TEXTJOIN(" &amp; ",TRUE,A2:E2)</f>
        <v>3 &amp; 4.0 - 4.5 &amp; 32.5 - 33.0 &amp; 28.5 - 29.0 &amp; out of range</v>
      </c>
      <c r="G2" t="str">
        <f>_xlfn.CONCAT(F2," \\ \hline")</f>
        <v>3 &amp; 4.0 - 4.5 &amp; 32.5 - 33.0 &amp; 28.5 - 29.0 &amp; out of range \\ \hline</v>
      </c>
    </row>
    <row r="3" spans="1:7" x14ac:dyDescent="0.35">
      <c r="A3">
        <v>9</v>
      </c>
      <c r="B3" t="s">
        <v>46</v>
      </c>
      <c r="C3" t="s">
        <v>43</v>
      </c>
      <c r="D3" t="s">
        <v>54</v>
      </c>
      <c r="E3" t="s">
        <v>52</v>
      </c>
      <c r="F3" t="str">
        <f t="shared" ref="F3:F66" si="0">_xlfn.TEXTJOIN(" &amp; ",TRUE,A3:E3)</f>
        <v>9 &amp; 4.0 - 4.5 &amp; 32.5 - 33.0 &amp; 29.0 - 29.5 &amp; 10.0 - 15.0</v>
      </c>
      <c r="G3" t="str">
        <f t="shared" ref="G3:G66" si="1">_xlfn.CONCAT(F3," \\ \hline")</f>
        <v>9 &amp; 4.0 - 4.5 &amp; 32.5 - 33.0 &amp; 29.0 - 29.5 &amp; 10.0 - 15.0 \\ \hline</v>
      </c>
    </row>
    <row r="4" spans="1:7" x14ac:dyDescent="0.35">
      <c r="A4">
        <v>6</v>
      </c>
      <c r="B4" t="s">
        <v>46</v>
      </c>
      <c r="C4" t="s">
        <v>43</v>
      </c>
      <c r="D4" t="s">
        <v>54</v>
      </c>
      <c r="E4" t="s">
        <v>53</v>
      </c>
      <c r="F4" t="str">
        <f t="shared" si="0"/>
        <v>6 &amp; 4.0 - 4.5 &amp; 32.5 - 33.0 &amp; 29.0 - 29.5 &amp; 5.0 - 10.0</v>
      </c>
      <c r="G4" t="str">
        <f t="shared" si="1"/>
        <v>6 &amp; 4.0 - 4.5 &amp; 32.5 - 33.0 &amp; 29.0 - 29.5 &amp; 5.0 - 10.0 \\ \hline</v>
      </c>
    </row>
    <row r="5" spans="1:7" hidden="1" x14ac:dyDescent="0.35">
      <c r="A5">
        <v>4</v>
      </c>
      <c r="B5" t="s">
        <v>46</v>
      </c>
      <c r="C5" t="s">
        <v>43</v>
      </c>
      <c r="D5" t="s">
        <v>44</v>
      </c>
      <c r="E5" t="s">
        <v>45</v>
      </c>
      <c r="F5" t="str">
        <f t="shared" si="0"/>
        <v>4 &amp; 4.0 - 4.5 &amp; 32.5 - 33.0 &amp; no data avail &amp; out of range</v>
      </c>
      <c r="G5" t="str">
        <f t="shared" si="1"/>
        <v>4 &amp; 4.0 - 4.5 &amp; 32.5 - 33.0 &amp; no data avail &amp; out of range \\ \hline</v>
      </c>
    </row>
    <row r="6" spans="1:7" x14ac:dyDescent="0.35">
      <c r="A6">
        <v>9</v>
      </c>
      <c r="B6" t="s">
        <v>46</v>
      </c>
      <c r="C6" t="s">
        <v>47</v>
      </c>
      <c r="D6" t="s">
        <v>48</v>
      </c>
      <c r="E6" t="s">
        <v>52</v>
      </c>
      <c r="F6" t="str">
        <f t="shared" si="0"/>
        <v>9 &amp; 4.0 - 4.5 &amp; 33.0 - 33.5 &amp; 28.5 - 29.0 &amp; 10.0 - 15.0</v>
      </c>
      <c r="G6" t="str">
        <f t="shared" si="1"/>
        <v>9 &amp; 4.0 - 4.5 &amp; 33.0 - 33.5 &amp; 28.5 - 29.0 &amp; 10.0 - 15.0 \\ \hline</v>
      </c>
    </row>
    <row r="7" spans="1:7" x14ac:dyDescent="0.35">
      <c r="A7">
        <v>61</v>
      </c>
      <c r="B7" t="s">
        <v>46</v>
      </c>
      <c r="C7" t="s">
        <v>47</v>
      </c>
      <c r="D7" t="s">
        <v>48</v>
      </c>
      <c r="E7" t="s">
        <v>49</v>
      </c>
      <c r="F7" t="str">
        <f t="shared" si="0"/>
        <v>61 &amp; 4.0 - 4.5 &amp; 33.0 - 33.5 &amp; 28.5 - 29.0 &amp; 15.0 - 20.0</v>
      </c>
      <c r="G7" t="str">
        <f t="shared" si="1"/>
        <v>61 &amp; 4.0 - 4.5 &amp; 33.0 - 33.5 &amp; 28.5 - 29.0 &amp; 15.0 - 20.0 \\ \hline</v>
      </c>
    </row>
    <row r="8" spans="1:7" hidden="1" x14ac:dyDescent="0.35">
      <c r="A8">
        <v>23</v>
      </c>
      <c r="B8" t="s">
        <v>46</v>
      </c>
      <c r="C8" t="s">
        <v>47</v>
      </c>
      <c r="D8" t="s">
        <v>48</v>
      </c>
      <c r="E8" t="s">
        <v>45</v>
      </c>
      <c r="F8" t="str">
        <f t="shared" si="0"/>
        <v>23 &amp; 4.0 - 4.5 &amp; 33.0 - 33.5 &amp; 28.5 - 29.0 &amp; out of range</v>
      </c>
      <c r="G8" t="str">
        <f t="shared" si="1"/>
        <v>23 &amp; 4.0 - 4.5 &amp; 33.0 - 33.5 &amp; 28.5 - 29.0 &amp; out of range \\ \hline</v>
      </c>
    </row>
    <row r="9" spans="1:7" x14ac:dyDescent="0.35">
      <c r="A9">
        <v>1</v>
      </c>
      <c r="B9" t="s">
        <v>46</v>
      </c>
      <c r="C9" t="s">
        <v>47</v>
      </c>
      <c r="D9" t="s">
        <v>54</v>
      </c>
      <c r="E9" t="s">
        <v>52</v>
      </c>
      <c r="F9" t="str">
        <f t="shared" si="0"/>
        <v>1 &amp; 4.0 - 4.5 &amp; 33.0 - 33.5 &amp; 29.0 - 29.5 &amp; 10.0 - 15.0</v>
      </c>
      <c r="G9" t="str">
        <f t="shared" si="1"/>
        <v>1 &amp; 4.0 - 4.5 &amp; 33.0 - 33.5 &amp; 29.0 - 29.5 &amp; 10.0 - 15.0 \\ \hline</v>
      </c>
    </row>
    <row r="10" spans="1:7" x14ac:dyDescent="0.35">
      <c r="A10">
        <v>10</v>
      </c>
      <c r="B10" t="s">
        <v>51</v>
      </c>
      <c r="C10" t="s">
        <v>43</v>
      </c>
      <c r="D10" t="s">
        <v>48</v>
      </c>
      <c r="E10" t="s">
        <v>52</v>
      </c>
      <c r="F10" t="str">
        <f t="shared" si="0"/>
        <v>10 &amp; 4.5 - 5.0 &amp; 32.5 - 33.0 &amp; 28.5 - 29.0 &amp; 10.0 - 15.0</v>
      </c>
      <c r="G10" t="str">
        <f t="shared" si="1"/>
        <v>10 &amp; 4.5 - 5.0 &amp; 32.5 - 33.0 &amp; 28.5 - 29.0 &amp; 10.0 - 15.0 \\ \hline</v>
      </c>
    </row>
    <row r="11" spans="1:7" x14ac:dyDescent="0.35">
      <c r="A11">
        <v>3</v>
      </c>
      <c r="B11" t="s">
        <v>51</v>
      </c>
      <c r="C11" t="s">
        <v>43</v>
      </c>
      <c r="D11" t="s">
        <v>48</v>
      </c>
      <c r="E11" t="s">
        <v>49</v>
      </c>
      <c r="F11" t="str">
        <f t="shared" si="0"/>
        <v>3 &amp; 4.5 - 5.0 &amp; 32.5 - 33.0 &amp; 28.5 - 29.0 &amp; 15.0 - 20.0</v>
      </c>
      <c r="G11" t="str">
        <f t="shared" si="1"/>
        <v>3 &amp; 4.5 - 5.0 &amp; 32.5 - 33.0 &amp; 28.5 - 29.0 &amp; 15.0 - 20.0 \\ \hline</v>
      </c>
    </row>
    <row r="12" spans="1:7" x14ac:dyDescent="0.35">
      <c r="A12">
        <v>2</v>
      </c>
      <c r="B12" t="s">
        <v>51</v>
      </c>
      <c r="C12" t="s">
        <v>43</v>
      </c>
      <c r="D12" t="s">
        <v>48</v>
      </c>
      <c r="E12" t="s">
        <v>53</v>
      </c>
      <c r="F12" t="str">
        <f t="shared" si="0"/>
        <v>2 &amp; 4.5 - 5.0 &amp; 32.5 - 33.0 &amp; 28.5 - 29.0 &amp; 5.0 - 10.0</v>
      </c>
      <c r="G12" t="str">
        <f t="shared" si="1"/>
        <v>2 &amp; 4.5 - 5.0 &amp; 32.5 - 33.0 &amp; 28.5 - 29.0 &amp; 5.0 - 10.0 \\ \hline</v>
      </c>
    </row>
    <row r="13" spans="1:7" hidden="1" x14ac:dyDescent="0.35">
      <c r="A13">
        <v>1</v>
      </c>
      <c r="B13" t="s">
        <v>51</v>
      </c>
      <c r="C13" t="s">
        <v>43</v>
      </c>
      <c r="D13" t="s">
        <v>48</v>
      </c>
      <c r="E13" t="s">
        <v>45</v>
      </c>
      <c r="F13" t="str">
        <f t="shared" si="0"/>
        <v>1 &amp; 4.5 - 5.0 &amp; 32.5 - 33.0 &amp; 28.5 - 29.0 &amp; out of range</v>
      </c>
      <c r="G13" t="str">
        <f t="shared" si="1"/>
        <v>1 &amp; 4.5 - 5.0 &amp; 32.5 - 33.0 &amp; 28.5 - 29.0 &amp; out of range \\ \hline</v>
      </c>
    </row>
    <row r="14" spans="1:7" x14ac:dyDescent="0.35">
      <c r="A14">
        <v>1</v>
      </c>
      <c r="B14" t="s">
        <v>51</v>
      </c>
      <c r="C14" t="s">
        <v>43</v>
      </c>
      <c r="D14" t="s">
        <v>54</v>
      </c>
      <c r="E14" t="s">
        <v>55</v>
      </c>
      <c r="F14" t="str">
        <f t="shared" si="0"/>
        <v>1 &amp; 4.5 - 5.0 &amp; 32.5 - 33.0 &amp; 29.0 - 29.5 &amp; 0.0 - 5.0</v>
      </c>
      <c r="G14" t="str">
        <f t="shared" si="1"/>
        <v>1 &amp; 4.5 - 5.0 &amp; 32.5 - 33.0 &amp; 29.0 - 29.5 &amp; 0.0 - 5.0 \\ \hline</v>
      </c>
    </row>
    <row r="15" spans="1:7" x14ac:dyDescent="0.35">
      <c r="A15">
        <v>12</v>
      </c>
      <c r="B15" t="s">
        <v>51</v>
      </c>
      <c r="C15" t="s">
        <v>43</v>
      </c>
      <c r="D15" t="s">
        <v>54</v>
      </c>
      <c r="E15" t="s">
        <v>52</v>
      </c>
      <c r="F15" t="str">
        <f t="shared" si="0"/>
        <v>12 &amp; 4.5 - 5.0 &amp; 32.5 - 33.0 &amp; 29.0 - 29.5 &amp; 10.0 - 15.0</v>
      </c>
      <c r="G15" t="str">
        <f t="shared" si="1"/>
        <v>12 &amp; 4.5 - 5.0 &amp; 32.5 - 33.0 &amp; 29.0 - 29.5 &amp; 10.0 - 15.0 \\ \hline</v>
      </c>
    </row>
    <row r="16" spans="1:7" x14ac:dyDescent="0.35">
      <c r="A16">
        <v>59</v>
      </c>
      <c r="B16" t="s">
        <v>51</v>
      </c>
      <c r="C16" t="s">
        <v>43</v>
      </c>
      <c r="D16" t="s">
        <v>54</v>
      </c>
      <c r="E16" t="s">
        <v>53</v>
      </c>
      <c r="F16" t="str">
        <f t="shared" si="0"/>
        <v>59 &amp; 4.5 - 5.0 &amp; 32.5 - 33.0 &amp; 29.0 - 29.5 &amp; 5.0 - 10.0</v>
      </c>
      <c r="G16" t="str">
        <f t="shared" si="1"/>
        <v>59 &amp; 4.5 - 5.0 &amp; 32.5 - 33.0 &amp; 29.0 - 29.5 &amp; 5.0 - 10.0 \\ \hline</v>
      </c>
    </row>
    <row r="17" spans="1:7" hidden="1" x14ac:dyDescent="0.35">
      <c r="A17">
        <v>2</v>
      </c>
      <c r="B17" t="s">
        <v>51</v>
      </c>
      <c r="C17" t="s">
        <v>43</v>
      </c>
      <c r="D17" t="s">
        <v>44</v>
      </c>
      <c r="E17" t="s">
        <v>45</v>
      </c>
      <c r="F17" t="str">
        <f t="shared" si="0"/>
        <v>2 &amp; 4.5 - 5.0 &amp; 32.5 - 33.0 &amp; no data avail &amp; out of range</v>
      </c>
      <c r="G17" t="str">
        <f t="shared" si="1"/>
        <v>2 &amp; 4.5 - 5.0 &amp; 32.5 - 33.0 &amp; no data avail &amp; out of range \\ \hline</v>
      </c>
    </row>
    <row r="18" spans="1:7" hidden="1" x14ac:dyDescent="0.35">
      <c r="A18">
        <v>1</v>
      </c>
      <c r="B18" t="s">
        <v>51</v>
      </c>
      <c r="C18" t="s">
        <v>47</v>
      </c>
      <c r="D18" t="s">
        <v>57</v>
      </c>
      <c r="E18" t="s">
        <v>44</v>
      </c>
      <c r="F18" t="str">
        <f t="shared" si="0"/>
        <v>1 &amp; 4.5 - 5.0 &amp; 33.0 - 33.5 &amp; 27.5 - 28.0 &amp; no data avail</v>
      </c>
      <c r="G18" t="str">
        <f t="shared" si="1"/>
        <v>1 &amp; 4.5 - 5.0 &amp; 33.0 - 33.5 &amp; 27.5 - 28.0 &amp; no data avail \\ \hline</v>
      </c>
    </row>
    <row r="19" spans="1:7" x14ac:dyDescent="0.35">
      <c r="A19">
        <v>58</v>
      </c>
      <c r="B19" t="s">
        <v>51</v>
      </c>
      <c r="C19" t="s">
        <v>47</v>
      </c>
      <c r="D19" t="s">
        <v>48</v>
      </c>
      <c r="E19" t="s">
        <v>52</v>
      </c>
      <c r="F19" t="str">
        <f t="shared" si="0"/>
        <v>58 &amp; 4.5 - 5.0 &amp; 33.0 - 33.5 &amp; 28.5 - 29.0 &amp; 10.0 - 15.0</v>
      </c>
      <c r="G19" t="str">
        <f t="shared" si="1"/>
        <v>58 &amp; 4.5 - 5.0 &amp; 33.0 - 33.5 &amp; 28.5 - 29.0 &amp; 10.0 - 15.0 \\ \hline</v>
      </c>
    </row>
    <row r="20" spans="1:7" x14ac:dyDescent="0.35">
      <c r="A20">
        <v>99</v>
      </c>
      <c r="B20" t="s">
        <v>51</v>
      </c>
      <c r="C20" t="s">
        <v>47</v>
      </c>
      <c r="D20" t="s">
        <v>48</v>
      </c>
      <c r="E20" t="s">
        <v>49</v>
      </c>
      <c r="F20" t="str">
        <f t="shared" si="0"/>
        <v>99 &amp; 4.5 - 5.0 &amp; 33.0 - 33.5 &amp; 28.5 - 29.0 &amp; 15.0 - 20.0</v>
      </c>
      <c r="G20" t="str">
        <f t="shared" si="1"/>
        <v>99 &amp; 4.5 - 5.0 &amp; 33.0 - 33.5 &amp; 28.5 - 29.0 &amp; 15.0 - 20.0 \\ \hline</v>
      </c>
    </row>
    <row r="21" spans="1:7" x14ac:dyDescent="0.35">
      <c r="A21">
        <v>2</v>
      </c>
      <c r="B21" t="s">
        <v>51</v>
      </c>
      <c r="C21" t="s">
        <v>47</v>
      </c>
      <c r="D21" t="s">
        <v>48</v>
      </c>
      <c r="E21" t="s">
        <v>53</v>
      </c>
      <c r="F21" t="str">
        <f t="shared" si="0"/>
        <v>2 &amp; 4.5 - 5.0 &amp; 33.0 - 33.5 &amp; 28.5 - 29.0 &amp; 5.0 - 10.0</v>
      </c>
      <c r="G21" t="str">
        <f t="shared" si="1"/>
        <v>2 &amp; 4.5 - 5.0 &amp; 33.0 - 33.5 &amp; 28.5 - 29.0 &amp; 5.0 - 10.0 \\ \hline</v>
      </c>
    </row>
    <row r="22" spans="1:7" hidden="1" x14ac:dyDescent="0.35">
      <c r="A22">
        <v>52</v>
      </c>
      <c r="B22" t="s">
        <v>51</v>
      </c>
      <c r="C22" t="s">
        <v>47</v>
      </c>
      <c r="D22" t="s">
        <v>48</v>
      </c>
      <c r="E22" t="s">
        <v>45</v>
      </c>
      <c r="F22" t="str">
        <f t="shared" si="0"/>
        <v>52 &amp; 4.5 - 5.0 &amp; 33.0 - 33.5 &amp; 28.5 - 29.0 &amp; out of range</v>
      </c>
      <c r="G22" t="str">
        <f t="shared" si="1"/>
        <v>52 &amp; 4.5 - 5.0 &amp; 33.0 - 33.5 &amp; 28.5 - 29.0 &amp; out of range \\ \hline</v>
      </c>
    </row>
    <row r="23" spans="1:7" x14ac:dyDescent="0.35">
      <c r="A23">
        <v>5</v>
      </c>
      <c r="B23" t="s">
        <v>51</v>
      </c>
      <c r="C23" t="s">
        <v>47</v>
      </c>
      <c r="D23" t="s">
        <v>54</v>
      </c>
      <c r="E23" t="s">
        <v>52</v>
      </c>
      <c r="F23" t="str">
        <f t="shared" si="0"/>
        <v>5 &amp; 4.5 - 5.0 &amp; 33.0 - 33.5 &amp; 29.0 - 29.5 &amp; 10.0 - 15.0</v>
      </c>
      <c r="G23" t="str">
        <f t="shared" si="1"/>
        <v>5 &amp; 4.5 - 5.0 &amp; 33.0 - 33.5 &amp; 29.0 - 29.5 &amp; 10.0 - 15.0 \\ \hline</v>
      </c>
    </row>
    <row r="24" spans="1:7" hidden="1" x14ac:dyDescent="0.35">
      <c r="A24">
        <v>2</v>
      </c>
      <c r="B24" t="s">
        <v>51</v>
      </c>
      <c r="C24" t="s">
        <v>44</v>
      </c>
      <c r="D24" t="s">
        <v>44</v>
      </c>
      <c r="E24" t="s">
        <v>44</v>
      </c>
      <c r="F24" t="str">
        <f t="shared" si="0"/>
        <v>2 &amp; 4.5 - 5.0 &amp; no data avail &amp; no data avail &amp; no data avail</v>
      </c>
      <c r="G24" t="str">
        <f t="shared" si="1"/>
        <v>2 &amp; 4.5 - 5.0 &amp; no data avail &amp; no data avail &amp; no data avail \\ \hline</v>
      </c>
    </row>
    <row r="25" spans="1:7" hidden="1" x14ac:dyDescent="0.35">
      <c r="A25">
        <v>2</v>
      </c>
      <c r="B25" t="s">
        <v>51</v>
      </c>
      <c r="C25" t="s">
        <v>44</v>
      </c>
      <c r="D25" t="s">
        <v>44</v>
      </c>
      <c r="E25" t="s">
        <v>45</v>
      </c>
      <c r="F25" t="str">
        <f t="shared" si="0"/>
        <v>2 &amp; 4.5 - 5.0 &amp; no data avail &amp; no data avail &amp; out of range</v>
      </c>
      <c r="G25" t="str">
        <f t="shared" si="1"/>
        <v>2 &amp; 4.5 - 5.0 &amp; no data avail &amp; no data avail &amp; out of range \\ \hline</v>
      </c>
    </row>
    <row r="26" spans="1:7" x14ac:dyDescent="0.35">
      <c r="A26">
        <v>95</v>
      </c>
      <c r="B26" t="s">
        <v>58</v>
      </c>
      <c r="C26" t="s">
        <v>43</v>
      </c>
      <c r="D26" t="s">
        <v>48</v>
      </c>
      <c r="E26" t="s">
        <v>52</v>
      </c>
      <c r="F26" t="str">
        <f t="shared" si="0"/>
        <v>95 &amp; 5.0 - 5.5 &amp; 32.5 - 33.0 &amp; 28.5 - 29.0 &amp; 10.0 - 15.0</v>
      </c>
      <c r="G26" t="str">
        <f t="shared" si="1"/>
        <v>95 &amp; 5.0 - 5.5 &amp; 32.5 - 33.0 &amp; 28.5 - 29.0 &amp; 10.0 - 15.0 \\ \hline</v>
      </c>
    </row>
    <row r="27" spans="1:7" x14ac:dyDescent="0.35">
      <c r="A27">
        <v>1</v>
      </c>
      <c r="B27" t="s">
        <v>58</v>
      </c>
      <c r="C27" t="s">
        <v>43</v>
      </c>
      <c r="D27" t="s">
        <v>48</v>
      </c>
      <c r="E27" t="s">
        <v>49</v>
      </c>
      <c r="F27" t="str">
        <f t="shared" si="0"/>
        <v>1 &amp; 5.0 - 5.5 &amp; 32.5 - 33.0 &amp; 28.5 - 29.0 &amp; 15.0 - 20.0</v>
      </c>
      <c r="G27" t="str">
        <f t="shared" si="1"/>
        <v>1 &amp; 5.0 - 5.5 &amp; 32.5 - 33.0 &amp; 28.5 - 29.0 &amp; 15.0 - 20.0 \\ \hline</v>
      </c>
    </row>
    <row r="28" spans="1:7" x14ac:dyDescent="0.35">
      <c r="A28">
        <v>32</v>
      </c>
      <c r="B28" t="s">
        <v>58</v>
      </c>
      <c r="C28" t="s">
        <v>43</v>
      </c>
      <c r="D28" t="s">
        <v>48</v>
      </c>
      <c r="E28" t="s">
        <v>53</v>
      </c>
      <c r="F28" t="str">
        <f t="shared" si="0"/>
        <v>32 &amp; 5.0 - 5.5 &amp; 32.5 - 33.0 &amp; 28.5 - 29.0 &amp; 5.0 - 10.0</v>
      </c>
      <c r="G28" t="str">
        <f t="shared" si="1"/>
        <v>32 &amp; 5.0 - 5.5 &amp; 32.5 - 33.0 &amp; 28.5 - 29.0 &amp; 5.0 - 10.0 \\ \hline</v>
      </c>
    </row>
    <row r="29" spans="1:7" hidden="1" x14ac:dyDescent="0.35">
      <c r="A29">
        <v>2</v>
      </c>
      <c r="B29" t="s">
        <v>58</v>
      </c>
      <c r="C29" t="s">
        <v>43</v>
      </c>
      <c r="D29" t="s">
        <v>48</v>
      </c>
      <c r="E29" t="s">
        <v>45</v>
      </c>
      <c r="F29" t="str">
        <f t="shared" si="0"/>
        <v>2 &amp; 5.0 - 5.5 &amp; 32.5 - 33.0 &amp; 28.5 - 29.0 &amp; out of range</v>
      </c>
      <c r="G29" t="str">
        <f t="shared" si="1"/>
        <v>2 &amp; 5.0 - 5.5 &amp; 32.5 - 33.0 &amp; 28.5 - 29.0 &amp; out of range \\ \hline</v>
      </c>
    </row>
    <row r="30" spans="1:7" x14ac:dyDescent="0.35">
      <c r="A30">
        <v>16</v>
      </c>
      <c r="B30" t="s">
        <v>58</v>
      </c>
      <c r="C30" t="s">
        <v>43</v>
      </c>
      <c r="D30" t="s">
        <v>54</v>
      </c>
      <c r="E30" t="s">
        <v>55</v>
      </c>
      <c r="F30" t="str">
        <f t="shared" si="0"/>
        <v>16 &amp; 5.0 - 5.5 &amp; 32.5 - 33.0 &amp; 29.0 - 29.5 &amp; 0.0 - 5.0</v>
      </c>
      <c r="G30" t="str">
        <f t="shared" si="1"/>
        <v>16 &amp; 5.0 - 5.5 &amp; 32.5 - 33.0 &amp; 29.0 - 29.5 &amp; 0.0 - 5.0 \\ \hline</v>
      </c>
    </row>
    <row r="31" spans="1:7" x14ac:dyDescent="0.35">
      <c r="A31">
        <v>222</v>
      </c>
      <c r="B31" t="s">
        <v>58</v>
      </c>
      <c r="C31" t="s">
        <v>43</v>
      </c>
      <c r="D31" t="s">
        <v>54</v>
      </c>
      <c r="E31" t="s">
        <v>52</v>
      </c>
      <c r="F31" t="str">
        <f t="shared" si="0"/>
        <v>222 &amp; 5.0 - 5.5 &amp; 32.5 - 33.0 &amp; 29.0 - 29.5 &amp; 10.0 - 15.0</v>
      </c>
      <c r="G31" t="str">
        <f t="shared" si="1"/>
        <v>222 &amp; 5.0 - 5.5 &amp; 32.5 - 33.0 &amp; 29.0 - 29.5 &amp; 10.0 - 15.0 \\ \hline</v>
      </c>
    </row>
    <row r="32" spans="1:7" x14ac:dyDescent="0.35">
      <c r="A32">
        <v>1021</v>
      </c>
      <c r="B32" t="s">
        <v>58</v>
      </c>
      <c r="C32" t="s">
        <v>43</v>
      </c>
      <c r="D32" t="s">
        <v>54</v>
      </c>
      <c r="E32" t="s">
        <v>53</v>
      </c>
      <c r="F32" t="str">
        <f t="shared" si="0"/>
        <v>1021 &amp; 5.0 - 5.5 &amp; 32.5 - 33.0 &amp; 29.0 - 29.5 &amp; 5.0 - 10.0</v>
      </c>
      <c r="G32" t="str">
        <f t="shared" si="1"/>
        <v>1021 &amp; 5.0 - 5.5 &amp; 32.5 - 33.0 &amp; 29.0 - 29.5 &amp; 5.0 - 10.0 \\ \hline</v>
      </c>
    </row>
    <row r="33" spans="1:7" hidden="1" x14ac:dyDescent="0.35">
      <c r="A33">
        <v>3</v>
      </c>
      <c r="B33" t="s">
        <v>58</v>
      </c>
      <c r="C33" t="s">
        <v>43</v>
      </c>
      <c r="D33" t="s">
        <v>44</v>
      </c>
      <c r="E33" t="s">
        <v>45</v>
      </c>
      <c r="F33" t="str">
        <f t="shared" si="0"/>
        <v>3 &amp; 5.0 - 5.5 &amp; 32.5 - 33.0 &amp; no data avail &amp; out of range</v>
      </c>
      <c r="G33" t="str">
        <f t="shared" si="1"/>
        <v>3 &amp; 5.0 - 5.5 &amp; 32.5 - 33.0 &amp; no data avail &amp; out of range \\ \hline</v>
      </c>
    </row>
    <row r="34" spans="1:7" hidden="1" x14ac:dyDescent="0.35">
      <c r="A34">
        <v>5</v>
      </c>
      <c r="B34" t="s">
        <v>58</v>
      </c>
      <c r="C34" t="s">
        <v>47</v>
      </c>
      <c r="D34" t="s">
        <v>57</v>
      </c>
      <c r="E34" t="s">
        <v>44</v>
      </c>
      <c r="F34" t="str">
        <f t="shared" si="0"/>
        <v>5 &amp; 5.0 - 5.5 &amp; 33.0 - 33.5 &amp; 27.5 - 28.0 &amp; no data avail</v>
      </c>
      <c r="G34" t="str">
        <f t="shared" si="1"/>
        <v>5 &amp; 5.0 - 5.5 &amp; 33.0 - 33.5 &amp; 27.5 - 28.0 &amp; no data avail \\ \hline</v>
      </c>
    </row>
    <row r="35" spans="1:7" x14ac:dyDescent="0.35">
      <c r="A35">
        <v>140</v>
      </c>
      <c r="B35" t="s">
        <v>58</v>
      </c>
      <c r="C35" t="s">
        <v>47</v>
      </c>
      <c r="D35" t="s">
        <v>48</v>
      </c>
      <c r="E35" t="s">
        <v>52</v>
      </c>
      <c r="F35" t="str">
        <f t="shared" si="0"/>
        <v>140 &amp; 5.0 - 5.5 &amp; 33.0 - 33.5 &amp; 28.5 - 29.0 &amp; 10.0 - 15.0</v>
      </c>
      <c r="G35" t="str">
        <f t="shared" si="1"/>
        <v>140 &amp; 5.0 - 5.5 &amp; 33.0 - 33.5 &amp; 28.5 - 29.0 &amp; 10.0 - 15.0 \\ \hline</v>
      </c>
    </row>
    <row r="36" spans="1:7" x14ac:dyDescent="0.35">
      <c r="A36">
        <v>126</v>
      </c>
      <c r="B36" t="s">
        <v>58</v>
      </c>
      <c r="C36" t="s">
        <v>47</v>
      </c>
      <c r="D36" t="s">
        <v>48</v>
      </c>
      <c r="E36" t="s">
        <v>49</v>
      </c>
      <c r="F36" t="str">
        <f t="shared" si="0"/>
        <v>126 &amp; 5.0 - 5.5 &amp; 33.0 - 33.5 &amp; 28.5 - 29.0 &amp; 15.0 - 20.0</v>
      </c>
      <c r="G36" t="str">
        <f t="shared" si="1"/>
        <v>126 &amp; 5.0 - 5.5 &amp; 33.0 - 33.5 &amp; 28.5 - 29.0 &amp; 15.0 - 20.0 \\ \hline</v>
      </c>
    </row>
    <row r="37" spans="1:7" x14ac:dyDescent="0.35">
      <c r="A37">
        <v>4</v>
      </c>
      <c r="B37" t="s">
        <v>58</v>
      </c>
      <c r="C37" t="s">
        <v>47</v>
      </c>
      <c r="D37" t="s">
        <v>48</v>
      </c>
      <c r="E37" t="s">
        <v>53</v>
      </c>
      <c r="F37" t="str">
        <f t="shared" si="0"/>
        <v>4 &amp; 5.0 - 5.5 &amp; 33.0 - 33.5 &amp; 28.5 - 29.0 &amp; 5.0 - 10.0</v>
      </c>
      <c r="G37" t="str">
        <f t="shared" si="1"/>
        <v>4 &amp; 5.0 - 5.5 &amp; 33.0 - 33.5 &amp; 28.5 - 29.0 &amp; 5.0 - 10.0 \\ \hline</v>
      </c>
    </row>
    <row r="38" spans="1:7" hidden="1" x14ac:dyDescent="0.35">
      <c r="A38">
        <v>1</v>
      </c>
      <c r="B38" t="s">
        <v>58</v>
      </c>
      <c r="C38" t="s">
        <v>47</v>
      </c>
      <c r="D38" t="s">
        <v>48</v>
      </c>
      <c r="E38" t="s">
        <v>44</v>
      </c>
      <c r="F38" t="str">
        <f t="shared" si="0"/>
        <v>1 &amp; 5.0 - 5.5 &amp; 33.0 - 33.5 &amp; 28.5 - 29.0 &amp; no data avail</v>
      </c>
      <c r="G38" t="str">
        <f t="shared" si="1"/>
        <v>1 &amp; 5.0 - 5.5 &amp; 33.0 - 33.5 &amp; 28.5 - 29.0 &amp; no data avail \\ \hline</v>
      </c>
    </row>
    <row r="39" spans="1:7" hidden="1" x14ac:dyDescent="0.35">
      <c r="A39">
        <v>199</v>
      </c>
      <c r="B39" t="s">
        <v>58</v>
      </c>
      <c r="C39" t="s">
        <v>47</v>
      </c>
      <c r="D39" t="s">
        <v>48</v>
      </c>
      <c r="E39" t="s">
        <v>45</v>
      </c>
      <c r="F39" t="str">
        <f t="shared" si="0"/>
        <v>199 &amp; 5.0 - 5.5 &amp; 33.0 - 33.5 &amp; 28.5 - 29.0 &amp; out of range</v>
      </c>
      <c r="G39" t="str">
        <f t="shared" si="1"/>
        <v>199 &amp; 5.0 - 5.5 &amp; 33.0 - 33.5 &amp; 28.5 - 29.0 &amp; out of range \\ \hline</v>
      </c>
    </row>
    <row r="40" spans="1:7" x14ac:dyDescent="0.35">
      <c r="A40">
        <v>2</v>
      </c>
      <c r="B40" t="s">
        <v>58</v>
      </c>
      <c r="C40" t="s">
        <v>47</v>
      </c>
      <c r="D40" t="s">
        <v>54</v>
      </c>
      <c r="E40" t="s">
        <v>55</v>
      </c>
      <c r="F40" t="str">
        <f t="shared" si="0"/>
        <v>2 &amp; 5.0 - 5.5 &amp; 33.0 - 33.5 &amp; 29.0 - 29.5 &amp; 0.0 - 5.0</v>
      </c>
      <c r="G40" t="str">
        <f t="shared" si="1"/>
        <v>2 &amp; 5.0 - 5.5 &amp; 33.0 - 33.5 &amp; 29.0 - 29.5 &amp; 0.0 - 5.0 \\ \hline</v>
      </c>
    </row>
    <row r="41" spans="1:7" x14ac:dyDescent="0.35">
      <c r="A41">
        <v>8</v>
      </c>
      <c r="B41" t="s">
        <v>58</v>
      </c>
      <c r="C41" t="s">
        <v>47</v>
      </c>
      <c r="D41" t="s">
        <v>54</v>
      </c>
      <c r="E41" t="s">
        <v>52</v>
      </c>
      <c r="F41" t="str">
        <f t="shared" si="0"/>
        <v>8 &amp; 5.0 - 5.5 &amp; 33.0 - 33.5 &amp; 29.0 - 29.5 &amp; 10.0 - 15.0</v>
      </c>
      <c r="G41" t="str">
        <f t="shared" si="1"/>
        <v>8 &amp; 5.0 - 5.5 &amp; 33.0 - 33.5 &amp; 29.0 - 29.5 &amp; 10.0 - 15.0 \\ \hline</v>
      </c>
    </row>
    <row r="42" spans="1:7" x14ac:dyDescent="0.35">
      <c r="A42">
        <v>8</v>
      </c>
      <c r="B42" t="s">
        <v>58</v>
      </c>
      <c r="C42" t="s">
        <v>47</v>
      </c>
      <c r="D42" t="s">
        <v>54</v>
      </c>
      <c r="E42" t="s">
        <v>53</v>
      </c>
      <c r="F42" t="str">
        <f t="shared" si="0"/>
        <v>8 &amp; 5.0 - 5.5 &amp; 33.0 - 33.5 &amp; 29.0 - 29.5 &amp; 5.0 - 10.0</v>
      </c>
      <c r="G42" t="str">
        <f t="shared" si="1"/>
        <v>8 &amp; 5.0 - 5.5 &amp; 33.0 - 33.5 &amp; 29.0 - 29.5 &amp; 5.0 - 10.0 \\ \hline</v>
      </c>
    </row>
    <row r="43" spans="1:7" hidden="1" x14ac:dyDescent="0.35">
      <c r="A43">
        <v>1</v>
      </c>
      <c r="B43" t="s">
        <v>58</v>
      </c>
      <c r="C43" t="s">
        <v>47</v>
      </c>
      <c r="D43" t="s">
        <v>44</v>
      </c>
      <c r="E43" t="s">
        <v>45</v>
      </c>
      <c r="F43" t="str">
        <f t="shared" si="0"/>
        <v>1 &amp; 5.0 - 5.5 &amp; 33.0 - 33.5 &amp; no data avail &amp; out of range</v>
      </c>
      <c r="G43" t="str">
        <f t="shared" si="1"/>
        <v>1 &amp; 5.0 - 5.5 &amp; 33.0 - 33.5 &amp; no data avail &amp; out of range \\ \hline</v>
      </c>
    </row>
    <row r="44" spans="1:7" hidden="1" x14ac:dyDescent="0.35">
      <c r="A44">
        <v>3</v>
      </c>
      <c r="B44" t="s">
        <v>58</v>
      </c>
      <c r="C44" t="s">
        <v>44</v>
      </c>
      <c r="D44" t="s">
        <v>44</v>
      </c>
      <c r="E44" t="s">
        <v>44</v>
      </c>
      <c r="F44" t="str">
        <f t="shared" si="0"/>
        <v>3 &amp; 5.0 - 5.5 &amp; no data avail &amp; no data avail &amp; no data avail</v>
      </c>
      <c r="G44" t="str">
        <f t="shared" si="1"/>
        <v>3 &amp; 5.0 - 5.5 &amp; no data avail &amp; no data avail &amp; no data avail \\ \hline</v>
      </c>
    </row>
    <row r="45" spans="1:7" hidden="1" x14ac:dyDescent="0.35">
      <c r="A45">
        <v>2</v>
      </c>
      <c r="B45" t="s">
        <v>58</v>
      </c>
      <c r="C45" t="s">
        <v>44</v>
      </c>
      <c r="D45" t="s">
        <v>44</v>
      </c>
      <c r="E45" t="s">
        <v>45</v>
      </c>
      <c r="F45" t="str">
        <f t="shared" si="0"/>
        <v>2 &amp; 5.0 - 5.5 &amp; no data avail &amp; no data avail &amp; out of range</v>
      </c>
      <c r="G45" t="str">
        <f t="shared" si="1"/>
        <v>2 &amp; 5.0 - 5.5 &amp; no data avail &amp; no data avail &amp; out of range \\ \hline</v>
      </c>
    </row>
    <row r="46" spans="1:7" x14ac:dyDescent="0.35">
      <c r="A46">
        <v>204</v>
      </c>
      <c r="B46" t="s">
        <v>59</v>
      </c>
      <c r="C46" t="s">
        <v>43</v>
      </c>
      <c r="D46" t="s">
        <v>48</v>
      </c>
      <c r="E46" t="s">
        <v>52</v>
      </c>
      <c r="F46" t="str">
        <f t="shared" si="0"/>
        <v>204 &amp; 5.5 - 6.0 &amp; 32.5 - 33.0 &amp; 28.5 - 29.0 &amp; 10.0 - 15.0</v>
      </c>
      <c r="G46" t="str">
        <f t="shared" si="1"/>
        <v>204 &amp; 5.5 - 6.0 &amp; 32.5 - 33.0 &amp; 28.5 - 29.0 &amp; 10.0 - 15.0 \\ \hline</v>
      </c>
    </row>
    <row r="47" spans="1:7" x14ac:dyDescent="0.35">
      <c r="A47">
        <v>1</v>
      </c>
      <c r="B47" t="s">
        <v>59</v>
      </c>
      <c r="C47" t="s">
        <v>43</v>
      </c>
      <c r="D47" t="s">
        <v>48</v>
      </c>
      <c r="E47" t="s">
        <v>49</v>
      </c>
      <c r="F47" t="str">
        <f t="shared" si="0"/>
        <v>1 &amp; 5.5 - 6.0 &amp; 32.5 - 33.0 &amp; 28.5 - 29.0 &amp; 15.0 - 20.0</v>
      </c>
      <c r="G47" t="str">
        <f t="shared" si="1"/>
        <v>1 &amp; 5.5 - 6.0 &amp; 32.5 - 33.0 &amp; 28.5 - 29.0 &amp; 15.0 - 20.0 \\ \hline</v>
      </c>
    </row>
    <row r="48" spans="1:7" x14ac:dyDescent="0.35">
      <c r="A48">
        <v>66</v>
      </c>
      <c r="B48" t="s">
        <v>59</v>
      </c>
      <c r="C48" t="s">
        <v>43</v>
      </c>
      <c r="D48" t="s">
        <v>48</v>
      </c>
      <c r="E48" t="s">
        <v>53</v>
      </c>
      <c r="F48" t="str">
        <f t="shared" si="0"/>
        <v>66 &amp; 5.5 - 6.0 &amp; 32.5 - 33.0 &amp; 28.5 - 29.0 &amp; 5.0 - 10.0</v>
      </c>
      <c r="G48" t="str">
        <f t="shared" si="1"/>
        <v>66 &amp; 5.5 - 6.0 &amp; 32.5 - 33.0 &amp; 28.5 - 29.0 &amp; 5.0 - 10.0 \\ \hline</v>
      </c>
    </row>
    <row r="49" spans="1:7" hidden="1" x14ac:dyDescent="0.35">
      <c r="A49">
        <v>2</v>
      </c>
      <c r="B49" t="s">
        <v>59</v>
      </c>
      <c r="C49" t="s">
        <v>43</v>
      </c>
      <c r="D49" t="s">
        <v>48</v>
      </c>
      <c r="E49" t="s">
        <v>45</v>
      </c>
      <c r="F49" t="str">
        <f t="shared" si="0"/>
        <v>2 &amp; 5.5 - 6.0 &amp; 32.5 - 33.0 &amp; 28.5 - 29.0 &amp; out of range</v>
      </c>
      <c r="G49" t="str">
        <f t="shared" si="1"/>
        <v>2 &amp; 5.5 - 6.0 &amp; 32.5 - 33.0 &amp; 28.5 - 29.0 &amp; out of range \\ \hline</v>
      </c>
    </row>
    <row r="50" spans="1:7" x14ac:dyDescent="0.35">
      <c r="A50">
        <v>165</v>
      </c>
      <c r="B50" t="s">
        <v>59</v>
      </c>
      <c r="C50" t="s">
        <v>43</v>
      </c>
      <c r="D50" t="s">
        <v>54</v>
      </c>
      <c r="E50" t="s">
        <v>55</v>
      </c>
      <c r="F50" t="str">
        <f t="shared" si="0"/>
        <v>165 &amp; 5.5 - 6.0 &amp; 32.5 - 33.0 &amp; 29.0 - 29.5 &amp; 0.0 - 5.0</v>
      </c>
      <c r="G50" t="str">
        <f t="shared" si="1"/>
        <v>165 &amp; 5.5 - 6.0 &amp; 32.5 - 33.0 &amp; 29.0 - 29.5 &amp; 0.0 - 5.0 \\ \hline</v>
      </c>
    </row>
    <row r="51" spans="1:7" x14ac:dyDescent="0.35">
      <c r="A51">
        <v>311</v>
      </c>
      <c r="B51" t="s">
        <v>59</v>
      </c>
      <c r="C51" t="s">
        <v>43</v>
      </c>
      <c r="D51" t="s">
        <v>54</v>
      </c>
      <c r="E51" t="s">
        <v>52</v>
      </c>
      <c r="F51" t="str">
        <f t="shared" si="0"/>
        <v>311 &amp; 5.5 - 6.0 &amp; 32.5 - 33.0 &amp; 29.0 - 29.5 &amp; 10.0 - 15.0</v>
      </c>
      <c r="G51" t="str">
        <f t="shared" si="1"/>
        <v>311 &amp; 5.5 - 6.0 &amp; 32.5 - 33.0 &amp; 29.0 - 29.5 &amp; 10.0 - 15.0 \\ \hline</v>
      </c>
    </row>
    <row r="52" spans="1:7" x14ac:dyDescent="0.35">
      <c r="A52">
        <v>3350</v>
      </c>
      <c r="B52" t="s">
        <v>59</v>
      </c>
      <c r="C52" t="s">
        <v>43</v>
      </c>
      <c r="D52" t="s">
        <v>54</v>
      </c>
      <c r="E52" t="s">
        <v>53</v>
      </c>
      <c r="F52" t="str">
        <f t="shared" si="0"/>
        <v>3350 &amp; 5.5 - 6.0 &amp; 32.5 - 33.0 &amp; 29.0 - 29.5 &amp; 5.0 - 10.0</v>
      </c>
      <c r="G52" t="str">
        <f t="shared" si="1"/>
        <v>3350 &amp; 5.5 - 6.0 &amp; 32.5 - 33.0 &amp; 29.0 - 29.5 &amp; 5.0 - 10.0 \\ \hline</v>
      </c>
    </row>
    <row r="53" spans="1:7" hidden="1" x14ac:dyDescent="0.35">
      <c r="A53">
        <v>2</v>
      </c>
      <c r="B53" t="s">
        <v>59</v>
      </c>
      <c r="C53" t="s">
        <v>43</v>
      </c>
      <c r="D53" t="s">
        <v>44</v>
      </c>
      <c r="E53" t="s">
        <v>45</v>
      </c>
      <c r="F53" t="str">
        <f t="shared" si="0"/>
        <v>2 &amp; 5.5 - 6.0 &amp; 32.5 - 33.0 &amp; no data avail &amp; out of range</v>
      </c>
      <c r="G53" t="str">
        <f t="shared" si="1"/>
        <v>2 &amp; 5.5 - 6.0 &amp; 32.5 - 33.0 &amp; no data avail &amp; out of range \\ \hline</v>
      </c>
    </row>
    <row r="54" spans="1:7" hidden="1" x14ac:dyDescent="0.35">
      <c r="A54">
        <v>2</v>
      </c>
      <c r="B54" t="s">
        <v>59</v>
      </c>
      <c r="C54" t="s">
        <v>47</v>
      </c>
      <c r="D54" t="s">
        <v>57</v>
      </c>
      <c r="E54" t="s">
        <v>44</v>
      </c>
      <c r="F54" t="str">
        <f t="shared" si="0"/>
        <v>2 &amp; 5.5 - 6.0 &amp; 33.0 - 33.5 &amp; 27.5 - 28.0 &amp; no data avail</v>
      </c>
      <c r="G54" t="str">
        <f t="shared" si="1"/>
        <v>2 &amp; 5.5 - 6.0 &amp; 33.0 - 33.5 &amp; 27.5 - 28.0 &amp; no data avail \\ \hline</v>
      </c>
    </row>
    <row r="55" spans="1:7" x14ac:dyDescent="0.35">
      <c r="A55">
        <v>173</v>
      </c>
      <c r="B55" t="s">
        <v>59</v>
      </c>
      <c r="C55" t="s">
        <v>47</v>
      </c>
      <c r="D55" t="s">
        <v>48</v>
      </c>
      <c r="E55" t="s">
        <v>52</v>
      </c>
      <c r="F55" t="str">
        <f t="shared" si="0"/>
        <v>173 &amp; 5.5 - 6.0 &amp; 33.0 - 33.5 &amp; 28.5 - 29.0 &amp; 10.0 - 15.0</v>
      </c>
      <c r="G55" t="str">
        <f t="shared" si="1"/>
        <v>173 &amp; 5.5 - 6.0 &amp; 33.0 - 33.5 &amp; 28.5 - 29.0 &amp; 10.0 - 15.0 \\ \hline</v>
      </c>
    </row>
    <row r="56" spans="1:7" x14ac:dyDescent="0.35">
      <c r="A56">
        <v>198</v>
      </c>
      <c r="B56" t="s">
        <v>59</v>
      </c>
      <c r="C56" t="s">
        <v>47</v>
      </c>
      <c r="D56" t="s">
        <v>48</v>
      </c>
      <c r="E56" t="s">
        <v>49</v>
      </c>
      <c r="F56" t="str">
        <f t="shared" si="0"/>
        <v>198 &amp; 5.5 - 6.0 &amp; 33.0 - 33.5 &amp; 28.5 - 29.0 &amp; 15.0 - 20.0</v>
      </c>
      <c r="G56" t="str">
        <f t="shared" si="1"/>
        <v>198 &amp; 5.5 - 6.0 &amp; 33.0 - 33.5 &amp; 28.5 - 29.0 &amp; 15.0 - 20.0 \\ \hline</v>
      </c>
    </row>
    <row r="57" spans="1:7" x14ac:dyDescent="0.35">
      <c r="A57">
        <v>8</v>
      </c>
      <c r="B57" t="s">
        <v>59</v>
      </c>
      <c r="C57" t="s">
        <v>47</v>
      </c>
      <c r="D57" t="s">
        <v>48</v>
      </c>
      <c r="E57" t="s">
        <v>53</v>
      </c>
      <c r="F57" t="str">
        <f t="shared" si="0"/>
        <v>8 &amp; 5.5 - 6.0 &amp; 33.0 - 33.5 &amp; 28.5 - 29.0 &amp; 5.0 - 10.0</v>
      </c>
      <c r="G57" t="str">
        <f t="shared" si="1"/>
        <v>8 &amp; 5.5 - 6.0 &amp; 33.0 - 33.5 &amp; 28.5 - 29.0 &amp; 5.0 - 10.0 \\ \hline</v>
      </c>
    </row>
    <row r="58" spans="1:7" hidden="1" x14ac:dyDescent="0.35">
      <c r="A58">
        <v>8</v>
      </c>
      <c r="B58" t="s">
        <v>59</v>
      </c>
      <c r="C58" t="s">
        <v>47</v>
      </c>
      <c r="D58" t="s">
        <v>48</v>
      </c>
      <c r="E58" t="s">
        <v>44</v>
      </c>
      <c r="F58" t="str">
        <f t="shared" si="0"/>
        <v>8 &amp; 5.5 - 6.0 &amp; 33.0 - 33.5 &amp; 28.5 - 29.0 &amp; no data avail</v>
      </c>
      <c r="G58" t="str">
        <f t="shared" si="1"/>
        <v>8 &amp; 5.5 - 6.0 &amp; 33.0 - 33.5 &amp; 28.5 - 29.0 &amp; no data avail \\ \hline</v>
      </c>
    </row>
    <row r="59" spans="1:7" hidden="1" x14ac:dyDescent="0.35">
      <c r="A59">
        <v>304</v>
      </c>
      <c r="B59" t="s">
        <v>59</v>
      </c>
      <c r="C59" t="s">
        <v>47</v>
      </c>
      <c r="D59" t="s">
        <v>48</v>
      </c>
      <c r="E59" t="s">
        <v>45</v>
      </c>
      <c r="F59" t="str">
        <f t="shared" si="0"/>
        <v>304 &amp; 5.5 - 6.0 &amp; 33.0 - 33.5 &amp; 28.5 - 29.0 &amp; out of range</v>
      </c>
      <c r="G59" t="str">
        <f t="shared" si="1"/>
        <v>304 &amp; 5.5 - 6.0 &amp; 33.0 - 33.5 &amp; 28.5 - 29.0 &amp; out of range \\ \hline</v>
      </c>
    </row>
    <row r="60" spans="1:7" x14ac:dyDescent="0.35">
      <c r="A60">
        <v>3</v>
      </c>
      <c r="B60" t="s">
        <v>59</v>
      </c>
      <c r="C60" t="s">
        <v>47</v>
      </c>
      <c r="D60" t="s">
        <v>54</v>
      </c>
      <c r="E60" t="s">
        <v>55</v>
      </c>
      <c r="F60" t="str">
        <f t="shared" si="0"/>
        <v>3 &amp; 5.5 - 6.0 &amp; 33.0 - 33.5 &amp; 29.0 - 29.5 &amp; 0.0 - 5.0</v>
      </c>
      <c r="G60" t="str">
        <f t="shared" si="1"/>
        <v>3 &amp; 5.5 - 6.0 &amp; 33.0 - 33.5 &amp; 29.0 - 29.5 &amp; 0.0 - 5.0 \\ \hline</v>
      </c>
    </row>
    <row r="61" spans="1:7" x14ac:dyDescent="0.35">
      <c r="A61">
        <v>15</v>
      </c>
      <c r="B61" t="s">
        <v>59</v>
      </c>
      <c r="C61" t="s">
        <v>47</v>
      </c>
      <c r="D61" t="s">
        <v>54</v>
      </c>
      <c r="E61" t="s">
        <v>52</v>
      </c>
      <c r="F61" t="str">
        <f t="shared" si="0"/>
        <v>15 &amp; 5.5 - 6.0 &amp; 33.0 - 33.5 &amp; 29.0 - 29.5 &amp; 10.0 - 15.0</v>
      </c>
      <c r="G61" t="str">
        <f t="shared" si="1"/>
        <v>15 &amp; 5.5 - 6.0 &amp; 33.0 - 33.5 &amp; 29.0 - 29.5 &amp; 10.0 - 15.0 \\ \hline</v>
      </c>
    </row>
    <row r="62" spans="1:7" x14ac:dyDescent="0.35">
      <c r="A62">
        <v>35</v>
      </c>
      <c r="B62" t="s">
        <v>59</v>
      </c>
      <c r="C62" t="s">
        <v>47</v>
      </c>
      <c r="D62" t="s">
        <v>54</v>
      </c>
      <c r="E62" t="s">
        <v>53</v>
      </c>
      <c r="F62" t="str">
        <f t="shared" si="0"/>
        <v>35 &amp; 5.5 - 6.0 &amp; 33.0 - 33.5 &amp; 29.0 - 29.5 &amp; 5.0 - 10.0</v>
      </c>
      <c r="G62" t="str">
        <f t="shared" si="1"/>
        <v>35 &amp; 5.5 - 6.0 &amp; 33.0 - 33.5 &amp; 29.0 - 29.5 &amp; 5.0 - 10.0 \\ \hline</v>
      </c>
    </row>
    <row r="63" spans="1:7" hidden="1" x14ac:dyDescent="0.35">
      <c r="A63">
        <v>1</v>
      </c>
      <c r="B63" t="s">
        <v>59</v>
      </c>
      <c r="C63" t="s">
        <v>44</v>
      </c>
      <c r="D63" t="s">
        <v>44</v>
      </c>
      <c r="E63" t="s">
        <v>44</v>
      </c>
      <c r="F63" t="str">
        <f t="shared" si="0"/>
        <v>1 &amp; 5.5 - 6.0 &amp; no data avail &amp; no data avail &amp; no data avail</v>
      </c>
      <c r="G63" t="str">
        <f t="shared" si="1"/>
        <v>1 &amp; 5.5 - 6.0 &amp; no data avail &amp; no data avail &amp; no data avail \\ \hline</v>
      </c>
    </row>
    <row r="64" spans="1:7" hidden="1" x14ac:dyDescent="0.35">
      <c r="A64">
        <v>2</v>
      </c>
      <c r="B64" t="s">
        <v>59</v>
      </c>
      <c r="C64" t="s">
        <v>44</v>
      </c>
      <c r="D64" t="s">
        <v>44</v>
      </c>
      <c r="E64" t="s">
        <v>45</v>
      </c>
      <c r="F64" t="str">
        <f t="shared" si="0"/>
        <v>2 &amp; 5.5 - 6.0 &amp; no data avail &amp; no data avail &amp; out of range</v>
      </c>
      <c r="G64" t="str">
        <f t="shared" si="1"/>
        <v>2 &amp; 5.5 - 6.0 &amp; no data avail &amp; no data avail &amp; out of range \\ \hline</v>
      </c>
    </row>
    <row r="65" spans="1:7" x14ac:dyDescent="0.35">
      <c r="A65">
        <v>255</v>
      </c>
      <c r="B65" t="s">
        <v>60</v>
      </c>
      <c r="C65" t="s">
        <v>43</v>
      </c>
      <c r="D65" t="s">
        <v>48</v>
      </c>
      <c r="E65" t="s">
        <v>52</v>
      </c>
      <c r="F65" t="str">
        <f t="shared" si="0"/>
        <v>255 &amp; 6.0 - 6.5 &amp; 32.5 - 33.0 &amp; 28.5 - 29.0 &amp; 10.0 - 15.0</v>
      </c>
      <c r="G65" t="str">
        <f t="shared" si="1"/>
        <v>255 &amp; 6.0 - 6.5 &amp; 32.5 - 33.0 &amp; 28.5 - 29.0 &amp; 10.0 - 15.0 \\ \hline</v>
      </c>
    </row>
    <row r="66" spans="1:7" x14ac:dyDescent="0.35">
      <c r="A66">
        <v>7</v>
      </c>
      <c r="B66" t="s">
        <v>60</v>
      </c>
      <c r="C66" t="s">
        <v>43</v>
      </c>
      <c r="D66" t="s">
        <v>48</v>
      </c>
      <c r="E66" t="s">
        <v>49</v>
      </c>
      <c r="F66" t="str">
        <f t="shared" si="0"/>
        <v>7 &amp; 6.0 - 6.5 &amp; 32.5 - 33.0 &amp; 28.5 - 29.0 &amp; 15.0 - 20.0</v>
      </c>
      <c r="G66" t="str">
        <f t="shared" si="1"/>
        <v>7 &amp; 6.0 - 6.5 &amp; 32.5 - 33.0 &amp; 28.5 - 29.0 &amp; 15.0 - 20.0 \\ \hline</v>
      </c>
    </row>
    <row r="67" spans="1:7" x14ac:dyDescent="0.35">
      <c r="A67">
        <v>271</v>
      </c>
      <c r="B67" t="s">
        <v>60</v>
      </c>
      <c r="C67" t="s">
        <v>43</v>
      </c>
      <c r="D67" t="s">
        <v>48</v>
      </c>
      <c r="E67" t="s">
        <v>53</v>
      </c>
      <c r="F67" t="str">
        <f t="shared" ref="F67:F130" si="2">_xlfn.TEXTJOIN(" &amp; ",TRUE,A67:E67)</f>
        <v>271 &amp; 6.0 - 6.5 &amp; 32.5 - 33.0 &amp; 28.5 - 29.0 &amp; 5.0 - 10.0</v>
      </c>
      <c r="G67" t="str">
        <f t="shared" ref="G67:G130" si="3">_xlfn.CONCAT(F67," \\ \hline")</f>
        <v>271 &amp; 6.0 - 6.5 &amp; 32.5 - 33.0 &amp; 28.5 - 29.0 &amp; 5.0 - 10.0 \\ \hline</v>
      </c>
    </row>
    <row r="68" spans="1:7" x14ac:dyDescent="0.35">
      <c r="A68">
        <v>1381</v>
      </c>
      <c r="B68" t="s">
        <v>60</v>
      </c>
      <c r="C68" t="s">
        <v>43</v>
      </c>
      <c r="D68" t="s">
        <v>54</v>
      </c>
      <c r="E68" t="s">
        <v>55</v>
      </c>
      <c r="F68" t="str">
        <f t="shared" si="2"/>
        <v>1381 &amp; 6.0 - 6.5 &amp; 32.5 - 33.0 &amp; 29.0 - 29.5 &amp; 0.0 - 5.0</v>
      </c>
      <c r="G68" t="str">
        <f t="shared" si="3"/>
        <v>1381 &amp; 6.0 - 6.5 &amp; 32.5 - 33.0 &amp; 29.0 - 29.5 &amp; 0.0 - 5.0 \\ \hline</v>
      </c>
    </row>
    <row r="69" spans="1:7" x14ac:dyDescent="0.35">
      <c r="A69">
        <v>271</v>
      </c>
      <c r="B69" t="s">
        <v>60</v>
      </c>
      <c r="C69" t="s">
        <v>43</v>
      </c>
      <c r="D69" t="s">
        <v>54</v>
      </c>
      <c r="E69" t="s">
        <v>52</v>
      </c>
      <c r="F69" t="str">
        <f t="shared" si="2"/>
        <v>271 &amp; 6.0 - 6.5 &amp; 32.5 - 33.0 &amp; 29.0 - 29.5 &amp; 10.0 - 15.0</v>
      </c>
      <c r="G69" t="str">
        <f t="shared" si="3"/>
        <v>271 &amp; 6.0 - 6.5 &amp; 32.5 - 33.0 &amp; 29.0 - 29.5 &amp; 10.0 - 15.0 \\ \hline</v>
      </c>
    </row>
    <row r="70" spans="1:7" x14ac:dyDescent="0.35">
      <c r="A70">
        <v>9134</v>
      </c>
      <c r="B70" t="s">
        <v>60</v>
      </c>
      <c r="C70" t="s">
        <v>43</v>
      </c>
      <c r="D70" t="s">
        <v>54</v>
      </c>
      <c r="E70" t="s">
        <v>53</v>
      </c>
      <c r="F70" t="str">
        <f t="shared" si="2"/>
        <v>9134 &amp; 6.0 - 6.5 &amp; 32.5 - 33.0 &amp; 29.0 - 29.5 &amp; 5.0 - 10.0</v>
      </c>
      <c r="G70" t="str">
        <f t="shared" si="3"/>
        <v>9134 &amp; 6.0 - 6.5 &amp; 32.5 - 33.0 &amp; 29.0 - 29.5 &amp; 5.0 - 10.0 \\ \hline</v>
      </c>
    </row>
    <row r="71" spans="1:7" hidden="1" x14ac:dyDescent="0.35">
      <c r="A71">
        <v>6</v>
      </c>
      <c r="B71" t="s">
        <v>60</v>
      </c>
      <c r="C71" t="s">
        <v>47</v>
      </c>
      <c r="D71" t="s">
        <v>57</v>
      </c>
      <c r="E71" t="s">
        <v>44</v>
      </c>
      <c r="F71" t="str">
        <f t="shared" si="2"/>
        <v>6 &amp; 6.0 - 6.5 &amp; 33.0 - 33.5 &amp; 27.5 - 28.0 &amp; no data avail</v>
      </c>
      <c r="G71" t="str">
        <f t="shared" si="3"/>
        <v>6 &amp; 6.0 - 6.5 &amp; 33.0 - 33.5 &amp; 27.5 - 28.0 &amp; no data avail \\ \hline</v>
      </c>
    </row>
    <row r="72" spans="1:7" x14ac:dyDescent="0.35">
      <c r="A72">
        <v>168</v>
      </c>
      <c r="B72" t="s">
        <v>60</v>
      </c>
      <c r="C72" t="s">
        <v>47</v>
      </c>
      <c r="D72" t="s">
        <v>48</v>
      </c>
      <c r="E72" t="s">
        <v>52</v>
      </c>
      <c r="F72" t="str">
        <f t="shared" si="2"/>
        <v>168 &amp; 6.0 - 6.5 &amp; 33.0 - 33.5 &amp; 28.5 - 29.0 &amp; 10.0 - 15.0</v>
      </c>
      <c r="G72" t="str">
        <f t="shared" si="3"/>
        <v>168 &amp; 6.0 - 6.5 &amp; 33.0 - 33.5 &amp; 28.5 - 29.0 &amp; 10.0 - 15.0 \\ \hline</v>
      </c>
    </row>
    <row r="73" spans="1:7" x14ac:dyDescent="0.35">
      <c r="A73">
        <v>223</v>
      </c>
      <c r="B73" t="s">
        <v>60</v>
      </c>
      <c r="C73" t="s">
        <v>47</v>
      </c>
      <c r="D73" t="s">
        <v>48</v>
      </c>
      <c r="E73" t="s">
        <v>49</v>
      </c>
      <c r="F73" t="str">
        <f t="shared" si="2"/>
        <v>223 &amp; 6.0 - 6.5 &amp; 33.0 - 33.5 &amp; 28.5 - 29.0 &amp; 15.0 - 20.0</v>
      </c>
      <c r="G73" t="str">
        <f t="shared" si="3"/>
        <v>223 &amp; 6.0 - 6.5 &amp; 33.0 - 33.5 &amp; 28.5 - 29.0 &amp; 15.0 - 20.0 \\ \hline</v>
      </c>
    </row>
    <row r="74" spans="1:7" x14ac:dyDescent="0.35">
      <c r="A74">
        <v>24</v>
      </c>
      <c r="B74" t="s">
        <v>60</v>
      </c>
      <c r="C74" t="s">
        <v>47</v>
      </c>
      <c r="D74" t="s">
        <v>48</v>
      </c>
      <c r="E74" t="s">
        <v>53</v>
      </c>
      <c r="F74" t="str">
        <f t="shared" si="2"/>
        <v>24 &amp; 6.0 - 6.5 &amp; 33.0 - 33.5 &amp; 28.5 - 29.0 &amp; 5.0 - 10.0</v>
      </c>
      <c r="G74" t="str">
        <f t="shared" si="3"/>
        <v>24 &amp; 6.0 - 6.5 &amp; 33.0 - 33.5 &amp; 28.5 - 29.0 &amp; 5.0 - 10.0 \\ \hline</v>
      </c>
    </row>
    <row r="75" spans="1:7" hidden="1" x14ac:dyDescent="0.35">
      <c r="A75">
        <v>9</v>
      </c>
      <c r="B75" t="s">
        <v>60</v>
      </c>
      <c r="C75" t="s">
        <v>47</v>
      </c>
      <c r="D75" t="s">
        <v>48</v>
      </c>
      <c r="E75" t="s">
        <v>44</v>
      </c>
      <c r="F75" t="str">
        <f t="shared" si="2"/>
        <v>9 &amp; 6.0 - 6.5 &amp; 33.0 - 33.5 &amp; 28.5 - 29.0 &amp; no data avail</v>
      </c>
      <c r="G75" t="str">
        <f t="shared" si="3"/>
        <v>9 &amp; 6.0 - 6.5 &amp; 33.0 - 33.5 &amp; 28.5 - 29.0 &amp; no data avail \\ \hline</v>
      </c>
    </row>
    <row r="76" spans="1:7" hidden="1" x14ac:dyDescent="0.35">
      <c r="A76">
        <v>252</v>
      </c>
      <c r="B76" t="s">
        <v>60</v>
      </c>
      <c r="C76" t="s">
        <v>47</v>
      </c>
      <c r="D76" t="s">
        <v>48</v>
      </c>
      <c r="E76" t="s">
        <v>45</v>
      </c>
      <c r="F76" t="str">
        <f t="shared" si="2"/>
        <v>252 &amp; 6.0 - 6.5 &amp; 33.0 - 33.5 &amp; 28.5 - 29.0 &amp; out of range</v>
      </c>
      <c r="G76" t="str">
        <f t="shared" si="3"/>
        <v>252 &amp; 6.0 - 6.5 &amp; 33.0 - 33.5 &amp; 28.5 - 29.0 &amp; out of range \\ \hline</v>
      </c>
    </row>
    <row r="77" spans="1:7" x14ac:dyDescent="0.35">
      <c r="A77">
        <v>16</v>
      </c>
      <c r="B77" t="s">
        <v>60</v>
      </c>
      <c r="C77" t="s">
        <v>47</v>
      </c>
      <c r="D77" t="s">
        <v>54</v>
      </c>
      <c r="E77" t="s">
        <v>55</v>
      </c>
      <c r="F77" t="str">
        <f t="shared" si="2"/>
        <v>16 &amp; 6.0 - 6.5 &amp; 33.0 - 33.5 &amp; 29.0 - 29.5 &amp; 0.0 - 5.0</v>
      </c>
      <c r="G77" t="str">
        <f t="shared" si="3"/>
        <v>16 &amp; 6.0 - 6.5 &amp; 33.0 - 33.5 &amp; 29.0 - 29.5 &amp; 0.0 - 5.0 \\ \hline</v>
      </c>
    </row>
    <row r="78" spans="1:7" x14ac:dyDescent="0.35">
      <c r="A78">
        <v>23</v>
      </c>
      <c r="B78" t="s">
        <v>60</v>
      </c>
      <c r="C78" t="s">
        <v>47</v>
      </c>
      <c r="D78" t="s">
        <v>54</v>
      </c>
      <c r="E78" t="s">
        <v>52</v>
      </c>
      <c r="F78" t="str">
        <f t="shared" si="2"/>
        <v>23 &amp; 6.0 - 6.5 &amp; 33.0 - 33.5 &amp; 29.0 - 29.5 &amp; 10.0 - 15.0</v>
      </c>
      <c r="G78" t="str">
        <f t="shared" si="3"/>
        <v>23 &amp; 6.0 - 6.5 &amp; 33.0 - 33.5 &amp; 29.0 - 29.5 &amp; 10.0 - 15.0 \\ \hline</v>
      </c>
    </row>
    <row r="79" spans="1:7" x14ac:dyDescent="0.35">
      <c r="A79">
        <v>140</v>
      </c>
      <c r="B79" t="s">
        <v>60</v>
      </c>
      <c r="C79" t="s">
        <v>47</v>
      </c>
      <c r="D79" t="s">
        <v>54</v>
      </c>
      <c r="E79" t="s">
        <v>53</v>
      </c>
      <c r="F79" t="str">
        <f t="shared" si="2"/>
        <v>140 &amp; 6.0 - 6.5 &amp; 33.0 - 33.5 &amp; 29.0 - 29.5 &amp; 5.0 - 10.0</v>
      </c>
      <c r="G79" t="str">
        <f t="shared" si="3"/>
        <v>140 &amp; 6.0 - 6.5 &amp; 33.0 - 33.5 &amp; 29.0 - 29.5 &amp; 5.0 - 10.0 \\ \hline</v>
      </c>
    </row>
    <row r="80" spans="1:7" hidden="1" x14ac:dyDescent="0.35">
      <c r="A80">
        <v>1</v>
      </c>
      <c r="B80" t="s">
        <v>60</v>
      </c>
      <c r="C80" t="s">
        <v>44</v>
      </c>
      <c r="D80" t="s">
        <v>44</v>
      </c>
      <c r="E80" t="s">
        <v>45</v>
      </c>
      <c r="F80" t="str">
        <f t="shared" si="2"/>
        <v>1 &amp; 6.0 - 6.5 &amp; no data avail &amp; no data avail &amp; out of range</v>
      </c>
      <c r="G80" t="str">
        <f t="shared" si="3"/>
        <v>1 &amp; 6.0 - 6.5 &amp; no data avail &amp; no data avail &amp; out of range \\ \hline</v>
      </c>
    </row>
    <row r="81" spans="1:7" x14ac:dyDescent="0.35">
      <c r="A81">
        <v>627</v>
      </c>
      <c r="B81" t="s">
        <v>61</v>
      </c>
      <c r="C81" t="s">
        <v>43</v>
      </c>
      <c r="D81" t="s">
        <v>48</v>
      </c>
      <c r="E81" t="s">
        <v>52</v>
      </c>
      <c r="F81" t="str">
        <f t="shared" si="2"/>
        <v>627 &amp; 6.5 - 7.0 &amp; 32.5 - 33.0 &amp; 28.5 - 29.0 &amp; 10.0 - 15.0</v>
      </c>
      <c r="G81" t="str">
        <f t="shared" si="3"/>
        <v>627 &amp; 6.5 - 7.0 &amp; 32.5 - 33.0 &amp; 28.5 - 29.0 &amp; 10.0 - 15.0 \\ \hline</v>
      </c>
    </row>
    <row r="82" spans="1:7" x14ac:dyDescent="0.35">
      <c r="A82">
        <v>19</v>
      </c>
      <c r="B82" t="s">
        <v>61</v>
      </c>
      <c r="C82" t="s">
        <v>43</v>
      </c>
      <c r="D82" t="s">
        <v>48</v>
      </c>
      <c r="E82" t="s">
        <v>49</v>
      </c>
      <c r="F82" t="str">
        <f t="shared" si="2"/>
        <v>19 &amp; 6.5 - 7.0 &amp; 32.5 - 33.0 &amp; 28.5 - 29.0 &amp; 15.0 - 20.0</v>
      </c>
      <c r="G82" t="str">
        <f t="shared" si="3"/>
        <v>19 &amp; 6.5 - 7.0 &amp; 32.5 - 33.0 &amp; 28.5 - 29.0 &amp; 15.0 - 20.0 \\ \hline</v>
      </c>
    </row>
    <row r="83" spans="1:7" x14ac:dyDescent="0.35">
      <c r="A83">
        <v>1283</v>
      </c>
      <c r="B83" t="s">
        <v>61</v>
      </c>
      <c r="C83" t="s">
        <v>43</v>
      </c>
      <c r="D83" t="s">
        <v>48</v>
      </c>
      <c r="E83" t="s">
        <v>53</v>
      </c>
      <c r="F83" t="str">
        <f t="shared" si="2"/>
        <v>1283 &amp; 6.5 - 7.0 &amp; 32.5 - 33.0 &amp; 28.5 - 29.0 &amp; 5.0 - 10.0</v>
      </c>
      <c r="G83" t="str">
        <f t="shared" si="3"/>
        <v>1283 &amp; 6.5 - 7.0 &amp; 32.5 - 33.0 &amp; 28.5 - 29.0 &amp; 5.0 - 10.0 \\ \hline</v>
      </c>
    </row>
    <row r="84" spans="1:7" hidden="1" x14ac:dyDescent="0.35">
      <c r="A84">
        <v>1</v>
      </c>
      <c r="B84" t="s">
        <v>61</v>
      </c>
      <c r="C84" t="s">
        <v>43</v>
      </c>
      <c r="D84" t="s">
        <v>48</v>
      </c>
      <c r="E84" t="s">
        <v>45</v>
      </c>
      <c r="F84" t="str">
        <f t="shared" si="2"/>
        <v>1 &amp; 6.5 - 7.0 &amp; 32.5 - 33.0 &amp; 28.5 - 29.0 &amp; out of range</v>
      </c>
      <c r="G84" t="str">
        <f t="shared" si="3"/>
        <v>1 &amp; 6.5 - 7.0 &amp; 32.5 - 33.0 &amp; 28.5 - 29.0 &amp; out of range \\ \hline</v>
      </c>
    </row>
    <row r="85" spans="1:7" x14ac:dyDescent="0.35">
      <c r="A85">
        <v>15446</v>
      </c>
      <c r="B85" t="s">
        <v>61</v>
      </c>
      <c r="C85" t="s">
        <v>43</v>
      </c>
      <c r="D85" t="s">
        <v>54</v>
      </c>
      <c r="E85" t="s">
        <v>55</v>
      </c>
      <c r="F85" t="str">
        <f t="shared" si="2"/>
        <v>15446 &amp; 6.5 - 7.0 &amp; 32.5 - 33.0 &amp; 29.0 - 29.5 &amp; 0.0 - 5.0</v>
      </c>
      <c r="G85" t="str">
        <f t="shared" si="3"/>
        <v>15446 &amp; 6.5 - 7.0 &amp; 32.5 - 33.0 &amp; 29.0 - 29.5 &amp; 0.0 - 5.0 \\ \hline</v>
      </c>
    </row>
    <row r="86" spans="1:7" x14ac:dyDescent="0.35">
      <c r="A86">
        <v>634</v>
      </c>
      <c r="B86" t="s">
        <v>61</v>
      </c>
      <c r="C86" t="s">
        <v>43</v>
      </c>
      <c r="D86" t="s">
        <v>54</v>
      </c>
      <c r="E86" t="s">
        <v>52</v>
      </c>
      <c r="F86" t="str">
        <f t="shared" si="2"/>
        <v>634 &amp; 6.5 - 7.0 &amp; 32.5 - 33.0 &amp; 29.0 - 29.5 &amp; 10.0 - 15.0</v>
      </c>
      <c r="G86" t="str">
        <f t="shared" si="3"/>
        <v>634 &amp; 6.5 - 7.0 &amp; 32.5 - 33.0 &amp; 29.0 - 29.5 &amp; 10.0 - 15.0 \\ \hline</v>
      </c>
    </row>
    <row r="87" spans="1:7" x14ac:dyDescent="0.35">
      <c r="A87">
        <v>29649</v>
      </c>
      <c r="B87" t="s">
        <v>61</v>
      </c>
      <c r="C87" t="s">
        <v>43</v>
      </c>
      <c r="D87" t="s">
        <v>54</v>
      </c>
      <c r="E87" t="s">
        <v>53</v>
      </c>
      <c r="F87" t="str">
        <f t="shared" si="2"/>
        <v>29649 &amp; 6.5 - 7.0 &amp; 32.5 - 33.0 &amp; 29.0 - 29.5 &amp; 5.0 - 10.0</v>
      </c>
      <c r="G87" t="str">
        <f t="shared" si="3"/>
        <v>29649 &amp; 6.5 - 7.0 &amp; 32.5 - 33.0 &amp; 29.0 - 29.5 &amp; 5.0 - 10.0 \\ \hline</v>
      </c>
    </row>
    <row r="88" spans="1:7" hidden="1" x14ac:dyDescent="0.35">
      <c r="A88">
        <v>1</v>
      </c>
      <c r="B88" t="s">
        <v>61</v>
      </c>
      <c r="C88" t="s">
        <v>47</v>
      </c>
      <c r="D88" t="s">
        <v>57</v>
      </c>
      <c r="E88" t="s">
        <v>44</v>
      </c>
      <c r="F88" t="str">
        <f t="shared" si="2"/>
        <v>1 &amp; 6.5 - 7.0 &amp; 33.0 - 33.5 &amp; 27.5 - 28.0 &amp; no data avail</v>
      </c>
      <c r="G88" t="str">
        <f t="shared" si="3"/>
        <v>1 &amp; 6.5 - 7.0 &amp; 33.0 - 33.5 &amp; 27.5 - 28.0 &amp; no data avail \\ \hline</v>
      </c>
    </row>
    <row r="89" spans="1:7" x14ac:dyDescent="0.35">
      <c r="A89">
        <v>261</v>
      </c>
      <c r="B89" t="s">
        <v>61</v>
      </c>
      <c r="C89" t="s">
        <v>47</v>
      </c>
      <c r="D89" t="s">
        <v>48</v>
      </c>
      <c r="E89" t="s">
        <v>52</v>
      </c>
      <c r="F89" t="str">
        <f t="shared" si="2"/>
        <v>261 &amp; 6.5 - 7.0 &amp; 33.0 - 33.5 &amp; 28.5 - 29.0 &amp; 10.0 - 15.0</v>
      </c>
      <c r="G89" t="str">
        <f t="shared" si="3"/>
        <v>261 &amp; 6.5 - 7.0 &amp; 33.0 - 33.5 &amp; 28.5 - 29.0 &amp; 10.0 - 15.0 \\ \hline</v>
      </c>
    </row>
    <row r="90" spans="1:7" x14ac:dyDescent="0.35">
      <c r="A90">
        <v>304</v>
      </c>
      <c r="B90" t="s">
        <v>61</v>
      </c>
      <c r="C90" t="s">
        <v>47</v>
      </c>
      <c r="D90" t="s">
        <v>48</v>
      </c>
      <c r="E90" t="s">
        <v>49</v>
      </c>
      <c r="F90" t="str">
        <f t="shared" si="2"/>
        <v>304 &amp; 6.5 - 7.0 &amp; 33.0 - 33.5 &amp; 28.5 - 29.0 &amp; 15.0 - 20.0</v>
      </c>
      <c r="G90" t="str">
        <f t="shared" si="3"/>
        <v>304 &amp; 6.5 - 7.0 &amp; 33.0 - 33.5 &amp; 28.5 - 29.0 &amp; 15.0 - 20.0 \\ \hline</v>
      </c>
    </row>
    <row r="91" spans="1:7" x14ac:dyDescent="0.35">
      <c r="A91">
        <v>90</v>
      </c>
      <c r="B91" t="s">
        <v>61</v>
      </c>
      <c r="C91" t="s">
        <v>47</v>
      </c>
      <c r="D91" t="s">
        <v>48</v>
      </c>
      <c r="E91" t="s">
        <v>53</v>
      </c>
      <c r="F91" t="str">
        <f t="shared" si="2"/>
        <v>90 &amp; 6.5 - 7.0 &amp; 33.0 - 33.5 &amp; 28.5 - 29.0 &amp; 5.0 - 10.0</v>
      </c>
      <c r="G91" t="str">
        <f t="shared" si="3"/>
        <v>90 &amp; 6.5 - 7.0 &amp; 33.0 - 33.5 &amp; 28.5 - 29.0 &amp; 5.0 - 10.0 \\ \hline</v>
      </c>
    </row>
    <row r="92" spans="1:7" hidden="1" x14ac:dyDescent="0.35">
      <c r="A92">
        <v>4</v>
      </c>
      <c r="B92" t="s">
        <v>61</v>
      </c>
      <c r="C92" t="s">
        <v>47</v>
      </c>
      <c r="D92" t="s">
        <v>48</v>
      </c>
      <c r="E92" t="s">
        <v>44</v>
      </c>
      <c r="F92" t="str">
        <f t="shared" si="2"/>
        <v>4 &amp; 6.5 - 7.0 &amp; 33.0 - 33.5 &amp; 28.5 - 29.0 &amp; no data avail</v>
      </c>
      <c r="G92" t="str">
        <f t="shared" si="3"/>
        <v>4 &amp; 6.5 - 7.0 &amp; 33.0 - 33.5 &amp; 28.5 - 29.0 &amp; no data avail \\ \hline</v>
      </c>
    </row>
    <row r="93" spans="1:7" hidden="1" x14ac:dyDescent="0.35">
      <c r="A93">
        <v>190</v>
      </c>
      <c r="B93" t="s">
        <v>61</v>
      </c>
      <c r="C93" t="s">
        <v>47</v>
      </c>
      <c r="D93" t="s">
        <v>48</v>
      </c>
      <c r="E93" t="s">
        <v>45</v>
      </c>
      <c r="F93" t="str">
        <f t="shared" si="2"/>
        <v>190 &amp; 6.5 - 7.0 &amp; 33.0 - 33.5 &amp; 28.5 - 29.0 &amp; out of range</v>
      </c>
      <c r="G93" t="str">
        <f t="shared" si="3"/>
        <v>190 &amp; 6.5 - 7.0 &amp; 33.0 - 33.5 &amp; 28.5 - 29.0 &amp; out of range \\ \hline</v>
      </c>
    </row>
    <row r="94" spans="1:7" x14ac:dyDescent="0.35">
      <c r="A94">
        <v>33</v>
      </c>
      <c r="B94" t="s">
        <v>61</v>
      </c>
      <c r="C94" t="s">
        <v>47</v>
      </c>
      <c r="D94" t="s">
        <v>54</v>
      </c>
      <c r="E94" t="s">
        <v>55</v>
      </c>
      <c r="F94" t="str">
        <f t="shared" si="2"/>
        <v>33 &amp; 6.5 - 7.0 &amp; 33.0 - 33.5 &amp; 29.0 - 29.5 &amp; 0.0 - 5.0</v>
      </c>
      <c r="G94" t="str">
        <f t="shared" si="3"/>
        <v>33 &amp; 6.5 - 7.0 &amp; 33.0 - 33.5 &amp; 29.0 - 29.5 &amp; 0.0 - 5.0 \\ \hline</v>
      </c>
    </row>
    <row r="95" spans="1:7" x14ac:dyDescent="0.35">
      <c r="A95">
        <v>21</v>
      </c>
      <c r="B95" t="s">
        <v>61</v>
      </c>
      <c r="C95" t="s">
        <v>47</v>
      </c>
      <c r="D95" t="s">
        <v>54</v>
      </c>
      <c r="E95" t="s">
        <v>52</v>
      </c>
      <c r="F95" t="str">
        <f t="shared" si="2"/>
        <v>21 &amp; 6.5 - 7.0 &amp; 33.0 - 33.5 &amp; 29.0 - 29.5 &amp; 10.0 - 15.0</v>
      </c>
      <c r="G95" t="str">
        <f t="shared" si="3"/>
        <v>21 &amp; 6.5 - 7.0 &amp; 33.0 - 33.5 &amp; 29.0 - 29.5 &amp; 10.0 - 15.0 \\ \hline</v>
      </c>
    </row>
    <row r="96" spans="1:7" x14ac:dyDescent="0.35">
      <c r="A96">
        <v>344</v>
      </c>
      <c r="B96" t="s">
        <v>61</v>
      </c>
      <c r="C96" t="s">
        <v>47</v>
      </c>
      <c r="D96" t="s">
        <v>54</v>
      </c>
      <c r="E96" t="s">
        <v>53</v>
      </c>
      <c r="F96" t="str">
        <f t="shared" si="2"/>
        <v>344 &amp; 6.5 - 7.0 &amp; 33.0 - 33.5 &amp; 29.0 - 29.5 &amp; 5.0 - 10.0</v>
      </c>
      <c r="G96" t="str">
        <f t="shared" si="3"/>
        <v>344 &amp; 6.5 - 7.0 &amp; 33.0 - 33.5 &amp; 29.0 - 29.5 &amp; 5.0 - 10.0 \\ \hline</v>
      </c>
    </row>
    <row r="97" spans="1:7" hidden="1" x14ac:dyDescent="0.35">
      <c r="A97">
        <v>1</v>
      </c>
      <c r="B97" t="s">
        <v>61</v>
      </c>
      <c r="C97" t="s">
        <v>44</v>
      </c>
      <c r="D97" t="s">
        <v>44</v>
      </c>
      <c r="E97" t="s">
        <v>45</v>
      </c>
      <c r="F97" t="str">
        <f t="shared" si="2"/>
        <v>1 &amp; 6.5 - 7.0 &amp; no data avail &amp; no data avail &amp; out of range</v>
      </c>
      <c r="G97" t="str">
        <f t="shared" si="3"/>
        <v>1 &amp; 6.5 - 7.0 &amp; no data avail &amp; no data avail &amp; out of range \\ \hline</v>
      </c>
    </row>
    <row r="98" spans="1:7" x14ac:dyDescent="0.35">
      <c r="A98">
        <v>942</v>
      </c>
      <c r="B98" t="s">
        <v>62</v>
      </c>
      <c r="C98" t="s">
        <v>43</v>
      </c>
      <c r="D98" t="s">
        <v>48</v>
      </c>
      <c r="E98" t="s">
        <v>52</v>
      </c>
      <c r="F98" t="str">
        <f t="shared" si="2"/>
        <v>942 &amp; 7.0 - 7.5 &amp; 32.5 - 33.0 &amp; 28.5 - 29.0 &amp; 10.0 - 15.0</v>
      </c>
      <c r="G98" t="str">
        <f t="shared" si="3"/>
        <v>942 &amp; 7.0 - 7.5 &amp; 32.5 - 33.0 &amp; 28.5 - 29.0 &amp; 10.0 - 15.0 \\ \hline</v>
      </c>
    </row>
    <row r="99" spans="1:7" x14ac:dyDescent="0.35">
      <c r="A99">
        <v>64</v>
      </c>
      <c r="B99" t="s">
        <v>62</v>
      </c>
      <c r="C99" t="s">
        <v>43</v>
      </c>
      <c r="D99" t="s">
        <v>48</v>
      </c>
      <c r="E99" t="s">
        <v>49</v>
      </c>
      <c r="F99" t="str">
        <f t="shared" si="2"/>
        <v>64 &amp; 7.0 - 7.5 &amp; 32.5 - 33.0 &amp; 28.5 - 29.0 &amp; 15.0 - 20.0</v>
      </c>
      <c r="G99" t="str">
        <f t="shared" si="3"/>
        <v>64 &amp; 7.0 - 7.5 &amp; 32.5 - 33.0 &amp; 28.5 - 29.0 &amp; 15.0 - 20.0 \\ \hline</v>
      </c>
    </row>
    <row r="100" spans="1:7" x14ac:dyDescent="0.35">
      <c r="A100">
        <v>1473</v>
      </c>
      <c r="B100" t="s">
        <v>62</v>
      </c>
      <c r="C100" t="s">
        <v>43</v>
      </c>
      <c r="D100" t="s">
        <v>48</v>
      </c>
      <c r="E100" t="s">
        <v>53</v>
      </c>
      <c r="F100" t="str">
        <f t="shared" si="2"/>
        <v>1473 &amp; 7.0 - 7.5 &amp; 32.5 - 33.0 &amp; 28.5 - 29.0 &amp; 5.0 - 10.0</v>
      </c>
      <c r="G100" t="str">
        <f t="shared" si="3"/>
        <v>1473 &amp; 7.0 - 7.5 &amp; 32.5 - 33.0 &amp; 28.5 - 29.0 &amp; 5.0 - 10.0 \\ \hline</v>
      </c>
    </row>
    <row r="101" spans="1:7" x14ac:dyDescent="0.35">
      <c r="A101">
        <v>52517</v>
      </c>
      <c r="B101" t="s">
        <v>62</v>
      </c>
      <c r="C101" t="s">
        <v>43</v>
      </c>
      <c r="D101" t="s">
        <v>54</v>
      </c>
      <c r="E101" t="s">
        <v>55</v>
      </c>
      <c r="F101" t="str">
        <f t="shared" si="2"/>
        <v>52517 &amp; 7.0 - 7.5 &amp; 32.5 - 33.0 &amp; 29.0 - 29.5 &amp; 0.0 - 5.0</v>
      </c>
      <c r="G101" t="str">
        <f t="shared" si="3"/>
        <v>52517 &amp; 7.0 - 7.5 &amp; 32.5 - 33.0 &amp; 29.0 - 29.5 &amp; 0.0 - 5.0 \\ \hline</v>
      </c>
    </row>
    <row r="102" spans="1:7" x14ac:dyDescent="0.35">
      <c r="A102">
        <v>1298</v>
      </c>
      <c r="B102" t="s">
        <v>62</v>
      </c>
      <c r="C102" t="s">
        <v>43</v>
      </c>
      <c r="D102" t="s">
        <v>54</v>
      </c>
      <c r="E102" t="s">
        <v>52</v>
      </c>
      <c r="F102" t="str">
        <f t="shared" si="2"/>
        <v>1298 &amp; 7.0 - 7.5 &amp; 32.5 - 33.0 &amp; 29.0 - 29.5 &amp; 10.0 - 15.0</v>
      </c>
      <c r="G102" t="str">
        <f t="shared" si="3"/>
        <v>1298 &amp; 7.0 - 7.5 &amp; 32.5 - 33.0 &amp; 29.0 - 29.5 &amp; 10.0 - 15.0 \\ \hline</v>
      </c>
    </row>
    <row r="103" spans="1:7" x14ac:dyDescent="0.35">
      <c r="A103">
        <v>45627</v>
      </c>
      <c r="B103" t="s">
        <v>62</v>
      </c>
      <c r="C103" t="s">
        <v>43</v>
      </c>
      <c r="D103" t="s">
        <v>54</v>
      </c>
      <c r="E103" t="s">
        <v>53</v>
      </c>
      <c r="F103" t="str">
        <f t="shared" si="2"/>
        <v>45627 &amp; 7.0 - 7.5 &amp; 32.5 - 33.0 &amp; 29.0 - 29.5 &amp; 5.0 - 10.0</v>
      </c>
      <c r="G103" t="str">
        <f t="shared" si="3"/>
        <v>45627 &amp; 7.0 - 7.5 &amp; 32.5 - 33.0 &amp; 29.0 - 29.5 &amp; 5.0 - 10.0 \\ \hline</v>
      </c>
    </row>
    <row r="104" spans="1:7" x14ac:dyDescent="0.35">
      <c r="A104">
        <v>197</v>
      </c>
      <c r="B104" t="s">
        <v>62</v>
      </c>
      <c r="C104" t="s">
        <v>47</v>
      </c>
      <c r="D104" t="s">
        <v>48</v>
      </c>
      <c r="E104" t="s">
        <v>52</v>
      </c>
      <c r="F104" t="str">
        <f t="shared" si="2"/>
        <v>197 &amp; 7.0 - 7.5 &amp; 33.0 - 33.5 &amp; 28.5 - 29.0 &amp; 10.0 - 15.0</v>
      </c>
      <c r="G104" t="str">
        <f t="shared" si="3"/>
        <v>197 &amp; 7.0 - 7.5 &amp; 33.0 - 33.5 &amp; 28.5 - 29.0 &amp; 10.0 - 15.0 \\ \hline</v>
      </c>
    </row>
    <row r="105" spans="1:7" x14ac:dyDescent="0.35">
      <c r="A105">
        <v>211</v>
      </c>
      <c r="B105" t="s">
        <v>62</v>
      </c>
      <c r="C105" t="s">
        <v>47</v>
      </c>
      <c r="D105" t="s">
        <v>48</v>
      </c>
      <c r="E105" t="s">
        <v>49</v>
      </c>
      <c r="F105" t="str">
        <f t="shared" si="2"/>
        <v>211 &amp; 7.0 - 7.5 &amp; 33.0 - 33.5 &amp; 28.5 - 29.0 &amp; 15.0 - 20.0</v>
      </c>
      <c r="G105" t="str">
        <f t="shared" si="3"/>
        <v>211 &amp; 7.0 - 7.5 &amp; 33.0 - 33.5 &amp; 28.5 - 29.0 &amp; 15.0 - 20.0 \\ \hline</v>
      </c>
    </row>
    <row r="106" spans="1:7" x14ac:dyDescent="0.35">
      <c r="A106">
        <v>154</v>
      </c>
      <c r="B106" t="s">
        <v>62</v>
      </c>
      <c r="C106" t="s">
        <v>47</v>
      </c>
      <c r="D106" t="s">
        <v>48</v>
      </c>
      <c r="E106" t="s">
        <v>53</v>
      </c>
      <c r="F106" t="str">
        <f t="shared" si="2"/>
        <v>154 &amp; 7.0 - 7.5 &amp; 33.0 - 33.5 &amp; 28.5 - 29.0 &amp; 5.0 - 10.0</v>
      </c>
      <c r="G106" t="str">
        <f t="shared" si="3"/>
        <v>154 &amp; 7.0 - 7.5 &amp; 33.0 - 33.5 &amp; 28.5 - 29.0 &amp; 5.0 - 10.0 \\ \hline</v>
      </c>
    </row>
    <row r="107" spans="1:7" hidden="1" x14ac:dyDescent="0.35">
      <c r="A107">
        <v>134</v>
      </c>
      <c r="B107" t="s">
        <v>62</v>
      </c>
      <c r="C107" t="s">
        <v>47</v>
      </c>
      <c r="D107" t="s">
        <v>48</v>
      </c>
      <c r="E107" t="s">
        <v>45</v>
      </c>
      <c r="F107" t="str">
        <f t="shared" si="2"/>
        <v>134 &amp; 7.0 - 7.5 &amp; 33.0 - 33.5 &amp; 28.5 - 29.0 &amp; out of range</v>
      </c>
      <c r="G107" t="str">
        <f t="shared" si="3"/>
        <v>134 &amp; 7.0 - 7.5 &amp; 33.0 - 33.5 &amp; 28.5 - 29.0 &amp; out of range \\ \hline</v>
      </c>
    </row>
    <row r="108" spans="1:7" x14ac:dyDescent="0.35">
      <c r="A108">
        <v>231</v>
      </c>
      <c r="B108" t="s">
        <v>62</v>
      </c>
      <c r="C108" t="s">
        <v>47</v>
      </c>
      <c r="D108" t="s">
        <v>54</v>
      </c>
      <c r="E108" t="s">
        <v>55</v>
      </c>
      <c r="F108" t="str">
        <f t="shared" si="2"/>
        <v>231 &amp; 7.0 - 7.5 &amp; 33.0 - 33.5 &amp; 29.0 - 29.5 &amp; 0.0 - 5.0</v>
      </c>
      <c r="G108" t="str">
        <f t="shared" si="3"/>
        <v>231 &amp; 7.0 - 7.5 &amp; 33.0 - 33.5 &amp; 29.0 - 29.5 &amp; 0.0 - 5.0 \\ \hline</v>
      </c>
    </row>
    <row r="109" spans="1:7" x14ac:dyDescent="0.35">
      <c r="A109">
        <v>26</v>
      </c>
      <c r="B109" t="s">
        <v>62</v>
      </c>
      <c r="C109" t="s">
        <v>47</v>
      </c>
      <c r="D109" t="s">
        <v>54</v>
      </c>
      <c r="E109" t="s">
        <v>52</v>
      </c>
      <c r="F109" t="str">
        <f t="shared" si="2"/>
        <v>26 &amp; 7.0 - 7.5 &amp; 33.0 - 33.5 &amp; 29.0 - 29.5 &amp; 10.0 - 15.0</v>
      </c>
      <c r="G109" t="str">
        <f t="shared" si="3"/>
        <v>26 &amp; 7.0 - 7.5 &amp; 33.0 - 33.5 &amp; 29.0 - 29.5 &amp; 10.0 - 15.0 \\ \hline</v>
      </c>
    </row>
    <row r="110" spans="1:7" x14ac:dyDescent="0.35">
      <c r="A110">
        <v>1131</v>
      </c>
      <c r="B110" t="s">
        <v>62</v>
      </c>
      <c r="C110" t="s">
        <v>47</v>
      </c>
      <c r="D110" t="s">
        <v>54</v>
      </c>
      <c r="E110" t="s">
        <v>53</v>
      </c>
      <c r="F110" t="str">
        <f t="shared" si="2"/>
        <v>1131 &amp; 7.0 - 7.5 &amp; 33.0 - 33.5 &amp; 29.0 - 29.5 &amp; 5.0 - 10.0</v>
      </c>
      <c r="G110" t="str">
        <f t="shared" si="3"/>
        <v>1131 &amp; 7.0 - 7.5 &amp; 33.0 - 33.5 &amp; 29.0 - 29.5 &amp; 5.0 - 10.0 \\ \hline</v>
      </c>
    </row>
    <row r="111" spans="1:7" hidden="1" x14ac:dyDescent="0.35">
      <c r="A111">
        <v>1</v>
      </c>
      <c r="B111" t="s">
        <v>62</v>
      </c>
      <c r="C111" t="s">
        <v>47</v>
      </c>
      <c r="D111" t="s">
        <v>44</v>
      </c>
      <c r="E111" t="s">
        <v>45</v>
      </c>
      <c r="F111" t="str">
        <f t="shared" si="2"/>
        <v>1 &amp; 7.0 - 7.5 &amp; 33.0 - 33.5 &amp; no data avail &amp; out of range</v>
      </c>
      <c r="G111" t="str">
        <f t="shared" si="3"/>
        <v>1 &amp; 7.0 - 7.5 &amp; 33.0 - 33.5 &amp; no data avail &amp; out of range \\ \hline</v>
      </c>
    </row>
    <row r="112" spans="1:7" x14ac:dyDescent="0.35">
      <c r="A112">
        <v>412</v>
      </c>
      <c r="B112" t="s">
        <v>63</v>
      </c>
      <c r="C112" t="s">
        <v>43</v>
      </c>
      <c r="D112" t="s">
        <v>48</v>
      </c>
      <c r="E112" t="s">
        <v>52</v>
      </c>
      <c r="F112" t="str">
        <f t="shared" si="2"/>
        <v>412 &amp; 7.5 - 8.0 &amp; 32.5 - 33.0 &amp; 28.5 - 29.0 &amp; 10.0 - 15.0</v>
      </c>
      <c r="G112" t="str">
        <f t="shared" si="3"/>
        <v>412 &amp; 7.5 - 8.0 &amp; 32.5 - 33.0 &amp; 28.5 - 29.0 &amp; 10.0 - 15.0 \\ \hline</v>
      </c>
    </row>
    <row r="113" spans="1:7" x14ac:dyDescent="0.35">
      <c r="A113">
        <v>86</v>
      </c>
      <c r="B113" t="s">
        <v>63</v>
      </c>
      <c r="C113" t="s">
        <v>43</v>
      </c>
      <c r="D113" t="s">
        <v>48</v>
      </c>
      <c r="E113" t="s">
        <v>49</v>
      </c>
      <c r="F113" t="str">
        <f t="shared" si="2"/>
        <v>86 &amp; 7.5 - 8.0 &amp; 32.5 - 33.0 &amp; 28.5 - 29.0 &amp; 15.0 - 20.0</v>
      </c>
      <c r="G113" t="str">
        <f t="shared" si="3"/>
        <v>86 &amp; 7.5 - 8.0 &amp; 32.5 - 33.0 &amp; 28.5 - 29.0 &amp; 15.0 - 20.0 \\ \hline</v>
      </c>
    </row>
    <row r="114" spans="1:7" x14ac:dyDescent="0.35">
      <c r="A114">
        <v>916</v>
      </c>
      <c r="B114" t="s">
        <v>63</v>
      </c>
      <c r="C114" t="s">
        <v>43</v>
      </c>
      <c r="D114" t="s">
        <v>48</v>
      </c>
      <c r="E114" t="s">
        <v>53</v>
      </c>
      <c r="F114" t="str">
        <f t="shared" si="2"/>
        <v>916 &amp; 7.5 - 8.0 &amp; 32.5 - 33.0 &amp; 28.5 - 29.0 &amp; 5.0 - 10.0</v>
      </c>
      <c r="G114" t="str">
        <f t="shared" si="3"/>
        <v>916 &amp; 7.5 - 8.0 &amp; 32.5 - 33.0 &amp; 28.5 - 29.0 &amp; 5.0 - 10.0 \\ \hline</v>
      </c>
    </row>
    <row r="115" spans="1:7" x14ac:dyDescent="0.35">
      <c r="A115">
        <v>64911</v>
      </c>
      <c r="B115" t="s">
        <v>63</v>
      </c>
      <c r="C115" t="s">
        <v>43</v>
      </c>
      <c r="D115" t="s">
        <v>54</v>
      </c>
      <c r="E115" t="s">
        <v>55</v>
      </c>
      <c r="F115" t="str">
        <f t="shared" si="2"/>
        <v>64911 &amp; 7.5 - 8.0 &amp; 32.5 - 33.0 &amp; 29.0 - 29.5 &amp; 0.0 - 5.0</v>
      </c>
      <c r="G115" t="str">
        <f t="shared" si="3"/>
        <v>64911 &amp; 7.5 - 8.0 &amp; 32.5 - 33.0 &amp; 29.0 - 29.5 &amp; 0.0 - 5.0 \\ \hline</v>
      </c>
    </row>
    <row r="116" spans="1:7" x14ac:dyDescent="0.35">
      <c r="A116">
        <v>603</v>
      </c>
      <c r="B116" t="s">
        <v>63</v>
      </c>
      <c r="C116" t="s">
        <v>43</v>
      </c>
      <c r="D116" t="s">
        <v>54</v>
      </c>
      <c r="E116" t="s">
        <v>52</v>
      </c>
      <c r="F116" t="str">
        <f t="shared" si="2"/>
        <v>603 &amp; 7.5 - 8.0 &amp; 32.5 - 33.0 &amp; 29.0 - 29.5 &amp; 10.0 - 15.0</v>
      </c>
      <c r="G116" t="str">
        <f t="shared" si="3"/>
        <v>603 &amp; 7.5 - 8.0 &amp; 32.5 - 33.0 &amp; 29.0 - 29.5 &amp; 10.0 - 15.0 \\ \hline</v>
      </c>
    </row>
    <row r="117" spans="1:7" x14ac:dyDescent="0.35">
      <c r="A117">
        <v>30386</v>
      </c>
      <c r="B117" t="s">
        <v>63</v>
      </c>
      <c r="C117" t="s">
        <v>43</v>
      </c>
      <c r="D117" t="s">
        <v>54</v>
      </c>
      <c r="E117" t="s">
        <v>53</v>
      </c>
      <c r="F117" t="str">
        <f t="shared" si="2"/>
        <v>30386 &amp; 7.5 - 8.0 &amp; 32.5 - 33.0 &amp; 29.0 - 29.5 &amp; 5.0 - 10.0</v>
      </c>
      <c r="G117" t="str">
        <f t="shared" si="3"/>
        <v>30386 &amp; 7.5 - 8.0 &amp; 32.5 - 33.0 &amp; 29.0 - 29.5 &amp; 5.0 - 10.0 \\ \hline</v>
      </c>
    </row>
    <row r="118" spans="1:7" x14ac:dyDescent="0.35">
      <c r="A118">
        <v>150</v>
      </c>
      <c r="B118" t="s">
        <v>63</v>
      </c>
      <c r="C118" t="s">
        <v>47</v>
      </c>
      <c r="D118" t="s">
        <v>48</v>
      </c>
      <c r="E118" t="s">
        <v>52</v>
      </c>
      <c r="F118" t="str">
        <f t="shared" si="2"/>
        <v>150 &amp; 7.5 - 8.0 &amp; 33.0 - 33.5 &amp; 28.5 - 29.0 &amp; 10.0 - 15.0</v>
      </c>
      <c r="G118" t="str">
        <f t="shared" si="3"/>
        <v>150 &amp; 7.5 - 8.0 &amp; 33.0 - 33.5 &amp; 28.5 - 29.0 &amp; 10.0 - 15.0 \\ \hline</v>
      </c>
    </row>
    <row r="119" spans="1:7" x14ac:dyDescent="0.35">
      <c r="A119">
        <v>125</v>
      </c>
      <c r="B119" t="s">
        <v>63</v>
      </c>
      <c r="C119" t="s">
        <v>47</v>
      </c>
      <c r="D119" t="s">
        <v>48</v>
      </c>
      <c r="E119" t="s">
        <v>49</v>
      </c>
      <c r="F119" t="str">
        <f t="shared" si="2"/>
        <v>125 &amp; 7.5 - 8.0 &amp; 33.0 - 33.5 &amp; 28.5 - 29.0 &amp; 15.0 - 20.0</v>
      </c>
      <c r="G119" t="str">
        <f t="shared" si="3"/>
        <v>125 &amp; 7.5 - 8.0 &amp; 33.0 - 33.5 &amp; 28.5 - 29.0 &amp; 15.0 - 20.0 \\ \hline</v>
      </c>
    </row>
    <row r="120" spans="1:7" x14ac:dyDescent="0.35">
      <c r="A120">
        <v>290</v>
      </c>
      <c r="B120" t="s">
        <v>63</v>
      </c>
      <c r="C120" t="s">
        <v>47</v>
      </c>
      <c r="D120" t="s">
        <v>48</v>
      </c>
      <c r="E120" t="s">
        <v>53</v>
      </c>
      <c r="F120" t="str">
        <f t="shared" si="2"/>
        <v>290 &amp; 7.5 - 8.0 &amp; 33.0 - 33.5 &amp; 28.5 - 29.0 &amp; 5.0 - 10.0</v>
      </c>
      <c r="G120" t="str">
        <f t="shared" si="3"/>
        <v>290 &amp; 7.5 - 8.0 &amp; 33.0 - 33.5 &amp; 28.5 - 29.0 &amp; 5.0 - 10.0 \\ \hline</v>
      </c>
    </row>
    <row r="121" spans="1:7" hidden="1" x14ac:dyDescent="0.35">
      <c r="A121">
        <v>77</v>
      </c>
      <c r="B121" t="s">
        <v>63</v>
      </c>
      <c r="C121" t="s">
        <v>47</v>
      </c>
      <c r="D121" t="s">
        <v>48</v>
      </c>
      <c r="E121" t="s">
        <v>45</v>
      </c>
      <c r="F121" t="str">
        <f t="shared" si="2"/>
        <v>77 &amp; 7.5 - 8.0 &amp; 33.0 - 33.5 &amp; 28.5 - 29.0 &amp; out of range</v>
      </c>
      <c r="G121" t="str">
        <f t="shared" si="3"/>
        <v>77 &amp; 7.5 - 8.0 &amp; 33.0 - 33.5 &amp; 28.5 - 29.0 &amp; out of range \\ \hline</v>
      </c>
    </row>
    <row r="122" spans="1:7" x14ac:dyDescent="0.35">
      <c r="A122">
        <v>1170</v>
      </c>
      <c r="B122" t="s">
        <v>63</v>
      </c>
      <c r="C122" t="s">
        <v>47</v>
      </c>
      <c r="D122" t="s">
        <v>54</v>
      </c>
      <c r="E122" t="s">
        <v>55</v>
      </c>
      <c r="F122" t="str">
        <f t="shared" si="2"/>
        <v>1170 &amp; 7.5 - 8.0 &amp; 33.0 - 33.5 &amp; 29.0 - 29.5 &amp; 0.0 - 5.0</v>
      </c>
      <c r="G122" t="str">
        <f t="shared" si="3"/>
        <v>1170 &amp; 7.5 - 8.0 &amp; 33.0 - 33.5 &amp; 29.0 - 29.5 &amp; 0.0 - 5.0 \\ \hline</v>
      </c>
    </row>
    <row r="123" spans="1:7" x14ac:dyDescent="0.35">
      <c r="A123">
        <v>16</v>
      </c>
      <c r="B123" t="s">
        <v>63</v>
      </c>
      <c r="C123" t="s">
        <v>47</v>
      </c>
      <c r="D123" t="s">
        <v>54</v>
      </c>
      <c r="E123" t="s">
        <v>52</v>
      </c>
      <c r="F123" t="str">
        <f t="shared" si="2"/>
        <v>16 &amp; 7.5 - 8.0 &amp; 33.0 - 33.5 &amp; 29.0 - 29.5 &amp; 10.0 - 15.0</v>
      </c>
      <c r="G123" t="str">
        <f t="shared" si="3"/>
        <v>16 &amp; 7.5 - 8.0 &amp; 33.0 - 33.5 &amp; 29.0 - 29.5 &amp; 10.0 - 15.0 \\ \hline</v>
      </c>
    </row>
    <row r="124" spans="1:7" x14ac:dyDescent="0.35">
      <c r="A124">
        <v>2618</v>
      </c>
      <c r="B124" t="s">
        <v>63</v>
      </c>
      <c r="C124" t="s">
        <v>47</v>
      </c>
      <c r="D124" t="s">
        <v>54</v>
      </c>
      <c r="E124" t="s">
        <v>53</v>
      </c>
      <c r="F124" t="str">
        <f t="shared" si="2"/>
        <v>2618 &amp; 7.5 - 8.0 &amp; 33.0 - 33.5 &amp; 29.0 - 29.5 &amp; 5.0 - 10.0</v>
      </c>
      <c r="G124" t="str">
        <f t="shared" si="3"/>
        <v>2618 &amp; 7.5 - 8.0 &amp; 33.0 - 33.5 &amp; 29.0 - 29.5 &amp; 5.0 - 10.0 \\ \hline</v>
      </c>
    </row>
    <row r="125" spans="1:7" hidden="1" x14ac:dyDescent="0.35">
      <c r="A125">
        <v>426</v>
      </c>
      <c r="B125" t="s">
        <v>44</v>
      </c>
      <c r="C125" t="s">
        <v>43</v>
      </c>
      <c r="D125" t="s">
        <v>48</v>
      </c>
      <c r="E125" t="s">
        <v>55</v>
      </c>
      <c r="F125" t="str">
        <f t="shared" si="2"/>
        <v>426 &amp; no data avail &amp; 32.5 - 33.0 &amp; 28.5 - 29.0 &amp; 0.0 - 5.0</v>
      </c>
      <c r="G125" t="str">
        <f t="shared" si="3"/>
        <v>426 &amp; no data avail &amp; 32.5 - 33.0 &amp; 28.5 - 29.0 &amp; 0.0 - 5.0 \\ \hline</v>
      </c>
    </row>
    <row r="126" spans="1:7" hidden="1" x14ac:dyDescent="0.35">
      <c r="A126">
        <v>796</v>
      </c>
      <c r="B126" t="s">
        <v>44</v>
      </c>
      <c r="C126" t="s">
        <v>43</v>
      </c>
      <c r="D126" t="s">
        <v>48</v>
      </c>
      <c r="E126" t="s">
        <v>52</v>
      </c>
      <c r="F126" t="str">
        <f t="shared" si="2"/>
        <v>796 &amp; no data avail &amp; 32.5 - 33.0 &amp; 28.5 - 29.0 &amp; 10.0 - 15.0</v>
      </c>
      <c r="G126" t="str">
        <f t="shared" si="3"/>
        <v>796 &amp; no data avail &amp; 32.5 - 33.0 &amp; 28.5 - 29.0 &amp; 10.0 - 15.0 \\ \hline</v>
      </c>
    </row>
    <row r="127" spans="1:7" hidden="1" x14ac:dyDescent="0.35">
      <c r="A127">
        <v>74</v>
      </c>
      <c r="B127" t="s">
        <v>44</v>
      </c>
      <c r="C127" t="s">
        <v>43</v>
      </c>
      <c r="D127" t="s">
        <v>48</v>
      </c>
      <c r="E127" t="s">
        <v>49</v>
      </c>
      <c r="F127" t="str">
        <f t="shared" si="2"/>
        <v>74 &amp; no data avail &amp; 32.5 - 33.0 &amp; 28.5 - 29.0 &amp; 15.0 - 20.0</v>
      </c>
      <c r="G127" t="str">
        <f t="shared" si="3"/>
        <v>74 &amp; no data avail &amp; 32.5 - 33.0 &amp; 28.5 - 29.0 &amp; 15.0 - 20.0 \\ \hline</v>
      </c>
    </row>
    <row r="128" spans="1:7" hidden="1" x14ac:dyDescent="0.35">
      <c r="A128">
        <v>6971</v>
      </c>
      <c r="B128" t="s">
        <v>44</v>
      </c>
      <c r="C128" t="s">
        <v>43</v>
      </c>
      <c r="D128" t="s">
        <v>48</v>
      </c>
      <c r="E128" t="s">
        <v>53</v>
      </c>
      <c r="F128" t="str">
        <f t="shared" si="2"/>
        <v>6971 &amp; no data avail &amp; 32.5 - 33.0 &amp; 28.5 - 29.0 &amp; 5.0 - 10.0</v>
      </c>
      <c r="G128" t="str">
        <f t="shared" si="3"/>
        <v>6971 &amp; no data avail &amp; 32.5 - 33.0 &amp; 28.5 - 29.0 &amp; 5.0 - 10.0 \\ \hline</v>
      </c>
    </row>
    <row r="129" spans="1:7" hidden="1" x14ac:dyDescent="0.35">
      <c r="A129">
        <v>44</v>
      </c>
      <c r="B129" t="s">
        <v>44</v>
      </c>
      <c r="C129" t="s">
        <v>43</v>
      </c>
      <c r="D129" t="s">
        <v>48</v>
      </c>
      <c r="E129" t="s">
        <v>45</v>
      </c>
      <c r="F129" t="str">
        <f t="shared" si="2"/>
        <v>44 &amp; no data avail &amp; 32.5 - 33.0 &amp; 28.5 - 29.0 &amp; out of range</v>
      </c>
      <c r="G129" t="str">
        <f t="shared" si="3"/>
        <v>44 &amp; no data avail &amp; 32.5 - 33.0 &amp; 28.5 - 29.0 &amp; out of range \\ \hline</v>
      </c>
    </row>
    <row r="130" spans="1:7" hidden="1" x14ac:dyDescent="0.35">
      <c r="A130">
        <v>964243</v>
      </c>
      <c r="B130" t="s">
        <v>44</v>
      </c>
      <c r="C130" t="s">
        <v>43</v>
      </c>
      <c r="D130" t="s">
        <v>54</v>
      </c>
      <c r="E130" t="s">
        <v>55</v>
      </c>
      <c r="F130" t="str">
        <f t="shared" si="2"/>
        <v>964243 &amp; no data avail &amp; 32.5 - 33.0 &amp; 29.0 - 29.5 &amp; 0.0 - 5.0</v>
      </c>
      <c r="G130" t="str">
        <f t="shared" si="3"/>
        <v>964243 &amp; no data avail &amp; 32.5 - 33.0 &amp; 29.0 - 29.5 &amp; 0.0 - 5.0 \\ \hline</v>
      </c>
    </row>
    <row r="131" spans="1:7" hidden="1" x14ac:dyDescent="0.35">
      <c r="A131">
        <v>59304</v>
      </c>
      <c r="B131" t="s">
        <v>44</v>
      </c>
      <c r="C131" t="s">
        <v>43</v>
      </c>
      <c r="D131" t="s">
        <v>54</v>
      </c>
      <c r="E131" t="s">
        <v>53</v>
      </c>
      <c r="F131" t="str">
        <f t="shared" ref="F131:F162" si="4">_xlfn.TEXTJOIN(" &amp; ",TRUE,A131:E131)</f>
        <v>59304 &amp; no data avail &amp; 32.5 - 33.0 &amp; 29.0 - 29.5 &amp; 5.0 - 10.0</v>
      </c>
      <c r="G131" t="str">
        <f t="shared" ref="G131:G162" si="5">_xlfn.CONCAT(F131," \\ \hline")</f>
        <v>59304 &amp; no data avail &amp; 32.5 - 33.0 &amp; 29.0 - 29.5 &amp; 5.0 - 10.0 \\ \hline</v>
      </c>
    </row>
    <row r="132" spans="1:7" hidden="1" x14ac:dyDescent="0.35">
      <c r="A132">
        <v>171</v>
      </c>
      <c r="B132" t="s">
        <v>44</v>
      </c>
      <c r="C132" t="s">
        <v>47</v>
      </c>
      <c r="D132" t="s">
        <v>48</v>
      </c>
      <c r="E132" t="s">
        <v>55</v>
      </c>
      <c r="F132" t="str">
        <f t="shared" si="4"/>
        <v>171 &amp; no data avail &amp; 33.0 - 33.5 &amp; 28.5 - 29.0 &amp; 0.0 - 5.0</v>
      </c>
      <c r="G132" t="str">
        <f t="shared" si="5"/>
        <v>171 &amp; no data avail &amp; 33.0 - 33.5 &amp; 28.5 - 29.0 &amp; 0.0 - 5.0 \\ \hline</v>
      </c>
    </row>
    <row r="133" spans="1:7" hidden="1" x14ac:dyDescent="0.35">
      <c r="A133">
        <v>5752</v>
      </c>
      <c r="B133" t="s">
        <v>44</v>
      </c>
      <c r="C133" t="s">
        <v>47</v>
      </c>
      <c r="D133" t="s">
        <v>48</v>
      </c>
      <c r="E133" t="s">
        <v>52</v>
      </c>
      <c r="F133" t="str">
        <f t="shared" si="4"/>
        <v>5752 &amp; no data avail &amp; 33.0 - 33.5 &amp; 28.5 - 29.0 &amp; 10.0 - 15.0</v>
      </c>
      <c r="G133" t="str">
        <f t="shared" si="5"/>
        <v>5752 &amp; no data avail &amp; 33.0 - 33.5 &amp; 28.5 - 29.0 &amp; 10.0 - 15.0 \\ \hline</v>
      </c>
    </row>
    <row r="134" spans="1:7" hidden="1" x14ac:dyDescent="0.35">
      <c r="A134">
        <v>4234</v>
      </c>
      <c r="B134" t="s">
        <v>44</v>
      </c>
      <c r="C134" t="s">
        <v>47</v>
      </c>
      <c r="D134" t="s">
        <v>48</v>
      </c>
      <c r="E134" t="s">
        <v>49</v>
      </c>
      <c r="F134" t="str">
        <f t="shared" si="4"/>
        <v>4234 &amp; no data avail &amp; 33.0 - 33.5 &amp; 28.5 - 29.0 &amp; 15.0 - 20.0</v>
      </c>
      <c r="G134" t="str">
        <f t="shared" si="5"/>
        <v>4234 &amp; no data avail &amp; 33.0 - 33.5 &amp; 28.5 - 29.0 &amp; 15.0 - 20.0 \\ \hline</v>
      </c>
    </row>
    <row r="135" spans="1:7" hidden="1" x14ac:dyDescent="0.35">
      <c r="A135">
        <v>8424</v>
      </c>
      <c r="B135" t="s">
        <v>44</v>
      </c>
      <c r="C135" t="s">
        <v>47</v>
      </c>
      <c r="D135" t="s">
        <v>48</v>
      </c>
      <c r="E135" t="s">
        <v>53</v>
      </c>
      <c r="F135" t="str">
        <f t="shared" si="4"/>
        <v>8424 &amp; no data avail &amp; 33.0 - 33.5 &amp; 28.5 - 29.0 &amp; 5.0 - 10.0</v>
      </c>
      <c r="G135" t="str">
        <f t="shared" si="5"/>
        <v>8424 &amp; no data avail &amp; 33.0 - 33.5 &amp; 28.5 - 29.0 &amp; 5.0 - 10.0 \\ \hline</v>
      </c>
    </row>
    <row r="136" spans="1:7" hidden="1" x14ac:dyDescent="0.35">
      <c r="A136">
        <v>1170</v>
      </c>
      <c r="B136" t="s">
        <v>44</v>
      </c>
      <c r="C136" t="s">
        <v>47</v>
      </c>
      <c r="D136" t="s">
        <v>48</v>
      </c>
      <c r="E136" t="s">
        <v>44</v>
      </c>
      <c r="F136" t="str">
        <f t="shared" si="4"/>
        <v>1170 &amp; no data avail &amp; 33.0 - 33.5 &amp; 28.5 - 29.0 &amp; no data avail</v>
      </c>
      <c r="G136" t="str">
        <f t="shared" si="5"/>
        <v>1170 &amp; no data avail &amp; 33.0 - 33.5 &amp; 28.5 - 29.0 &amp; no data avail \\ \hline</v>
      </c>
    </row>
    <row r="137" spans="1:7" hidden="1" x14ac:dyDescent="0.35">
      <c r="A137">
        <v>2260</v>
      </c>
      <c r="B137" t="s">
        <v>44</v>
      </c>
      <c r="C137" t="s">
        <v>47</v>
      </c>
      <c r="D137" t="s">
        <v>48</v>
      </c>
      <c r="E137" t="s">
        <v>45</v>
      </c>
      <c r="F137" t="str">
        <f t="shared" si="4"/>
        <v>2260 &amp; no data avail &amp; 33.0 - 33.5 &amp; 28.5 - 29.0 &amp; out of range</v>
      </c>
      <c r="G137" t="str">
        <f t="shared" si="5"/>
        <v>2260 &amp; no data avail &amp; 33.0 - 33.5 &amp; 28.5 - 29.0 &amp; out of range \\ \hline</v>
      </c>
    </row>
    <row r="138" spans="1:7" hidden="1" x14ac:dyDescent="0.35">
      <c r="A138">
        <v>403540</v>
      </c>
      <c r="B138" t="s">
        <v>44</v>
      </c>
      <c r="C138" t="s">
        <v>47</v>
      </c>
      <c r="D138" t="s">
        <v>54</v>
      </c>
      <c r="E138" t="s">
        <v>55</v>
      </c>
      <c r="F138" t="str">
        <f t="shared" si="4"/>
        <v>403540 &amp; no data avail &amp; 33.0 - 33.5 &amp; 29.0 - 29.5 &amp; 0.0 - 5.0</v>
      </c>
      <c r="G138" t="str">
        <f t="shared" si="5"/>
        <v>403540 &amp; no data avail &amp; 33.0 - 33.5 &amp; 29.0 - 29.5 &amp; 0.0 - 5.0 \\ \hline</v>
      </c>
    </row>
    <row r="139" spans="1:7" hidden="1" x14ac:dyDescent="0.35">
      <c r="A139">
        <v>5648</v>
      </c>
      <c r="B139" t="s">
        <v>44</v>
      </c>
      <c r="C139" t="s">
        <v>47</v>
      </c>
      <c r="D139" t="s">
        <v>54</v>
      </c>
      <c r="E139" t="s">
        <v>52</v>
      </c>
      <c r="F139" t="str">
        <f t="shared" si="4"/>
        <v>5648 &amp; no data avail &amp; 33.0 - 33.5 &amp; 29.0 - 29.5 &amp; 10.0 - 15.0</v>
      </c>
      <c r="G139" t="str">
        <f t="shared" si="5"/>
        <v>5648 &amp; no data avail &amp; 33.0 - 33.5 &amp; 29.0 - 29.5 &amp; 10.0 - 15.0 \\ \hline</v>
      </c>
    </row>
    <row r="140" spans="1:7" hidden="1" x14ac:dyDescent="0.35">
      <c r="A140">
        <v>908</v>
      </c>
      <c r="B140" t="s">
        <v>44</v>
      </c>
      <c r="C140" t="s">
        <v>47</v>
      </c>
      <c r="D140" t="s">
        <v>54</v>
      </c>
      <c r="E140" t="s">
        <v>49</v>
      </c>
      <c r="F140" t="str">
        <f t="shared" si="4"/>
        <v>908 &amp; no data avail &amp; 33.0 - 33.5 &amp; 29.0 - 29.5 &amp; 15.0 - 20.0</v>
      </c>
      <c r="G140" t="str">
        <f t="shared" si="5"/>
        <v>908 &amp; no data avail &amp; 33.0 - 33.5 &amp; 29.0 - 29.5 &amp; 15.0 - 20.0 \\ \hline</v>
      </c>
    </row>
    <row r="141" spans="1:7" hidden="1" x14ac:dyDescent="0.35">
      <c r="A141">
        <v>28862</v>
      </c>
      <c r="B141" t="s">
        <v>44</v>
      </c>
      <c r="C141" t="s">
        <v>47</v>
      </c>
      <c r="D141" t="s">
        <v>54</v>
      </c>
      <c r="E141" t="s">
        <v>53</v>
      </c>
      <c r="F141" t="str">
        <f t="shared" si="4"/>
        <v>28862 &amp; no data avail &amp; 33.0 - 33.5 &amp; 29.0 - 29.5 &amp; 5.0 - 10.0</v>
      </c>
      <c r="G141" t="str">
        <f t="shared" si="5"/>
        <v>28862 &amp; no data avail &amp; 33.0 - 33.5 &amp; 29.0 - 29.5 &amp; 5.0 - 10.0 \\ \hline</v>
      </c>
    </row>
    <row r="142" spans="1:7" hidden="1" x14ac:dyDescent="0.35">
      <c r="A142">
        <v>763</v>
      </c>
      <c r="B142" t="s">
        <v>44</v>
      </c>
      <c r="C142" t="s">
        <v>47</v>
      </c>
      <c r="D142" t="s">
        <v>54</v>
      </c>
      <c r="E142" t="s">
        <v>44</v>
      </c>
      <c r="F142" t="str">
        <f t="shared" si="4"/>
        <v>763 &amp; no data avail &amp; 33.0 - 33.5 &amp; 29.0 - 29.5 &amp; no data avail</v>
      </c>
      <c r="G142" t="str">
        <f t="shared" si="5"/>
        <v>763 &amp; no data avail &amp; 33.0 - 33.5 &amp; 29.0 - 29.5 &amp; no data avail \\ \hline</v>
      </c>
    </row>
    <row r="143" spans="1:7" hidden="1" x14ac:dyDescent="0.35">
      <c r="A143">
        <v>1777</v>
      </c>
      <c r="B143" t="s">
        <v>44</v>
      </c>
      <c r="C143" t="s">
        <v>47</v>
      </c>
      <c r="D143" t="s">
        <v>54</v>
      </c>
      <c r="E143" t="s">
        <v>45</v>
      </c>
      <c r="F143" t="str">
        <f t="shared" si="4"/>
        <v>1777 &amp; no data avail &amp; 33.0 - 33.5 &amp; 29.0 - 29.5 &amp; out of range</v>
      </c>
      <c r="G143" t="str">
        <f t="shared" si="5"/>
        <v>1777 &amp; no data avail &amp; 33.0 - 33.5 &amp; 29.0 - 29.5 &amp; out of range \\ \hline</v>
      </c>
    </row>
    <row r="144" spans="1:7" hidden="1" x14ac:dyDescent="0.35">
      <c r="A144">
        <v>1</v>
      </c>
      <c r="B144" t="s">
        <v>44</v>
      </c>
      <c r="C144" t="s">
        <v>47</v>
      </c>
      <c r="D144" t="s">
        <v>44</v>
      </c>
      <c r="E144" t="s">
        <v>45</v>
      </c>
      <c r="F144" t="str">
        <f t="shared" si="4"/>
        <v>1 &amp; no data avail &amp; 33.0 - 33.5 &amp; no data avail &amp; out of range</v>
      </c>
      <c r="G144" t="str">
        <f t="shared" si="5"/>
        <v>1 &amp; no data avail &amp; 33.0 - 33.5 &amp; no data avail &amp; out of range \\ \hline</v>
      </c>
    </row>
    <row r="145" spans="1:7" hidden="1" x14ac:dyDescent="0.35">
      <c r="A145">
        <v>193</v>
      </c>
      <c r="B145" t="s">
        <v>45</v>
      </c>
      <c r="C145" t="s">
        <v>43</v>
      </c>
      <c r="D145" t="s">
        <v>48</v>
      </c>
      <c r="E145" t="s">
        <v>52</v>
      </c>
      <c r="F145" t="str">
        <f t="shared" si="4"/>
        <v>193 &amp; out of range &amp; 32.5 - 33.0 &amp; 28.5 - 29.0 &amp; 10.0 - 15.0</v>
      </c>
      <c r="G145" t="str">
        <f t="shared" si="5"/>
        <v>193 &amp; out of range &amp; 32.5 - 33.0 &amp; 28.5 - 29.0 &amp; 10.0 - 15.0 \\ \hline</v>
      </c>
    </row>
    <row r="146" spans="1:7" hidden="1" x14ac:dyDescent="0.35">
      <c r="A146">
        <v>24</v>
      </c>
      <c r="B146" t="s">
        <v>45</v>
      </c>
      <c r="C146" t="s">
        <v>43</v>
      </c>
      <c r="D146" t="s">
        <v>48</v>
      </c>
      <c r="E146" t="s">
        <v>49</v>
      </c>
      <c r="F146" t="str">
        <f t="shared" si="4"/>
        <v>24 &amp; out of range &amp; 32.5 - 33.0 &amp; 28.5 - 29.0 &amp; 15.0 - 20.0</v>
      </c>
      <c r="G146" t="str">
        <f t="shared" si="5"/>
        <v>24 &amp; out of range &amp; 32.5 - 33.0 &amp; 28.5 - 29.0 &amp; 15.0 - 20.0 \\ \hline</v>
      </c>
    </row>
    <row r="147" spans="1:7" hidden="1" x14ac:dyDescent="0.35">
      <c r="A147">
        <v>1122</v>
      </c>
      <c r="B147" t="s">
        <v>45</v>
      </c>
      <c r="C147" t="s">
        <v>43</v>
      </c>
      <c r="D147" t="s">
        <v>48</v>
      </c>
      <c r="E147" t="s">
        <v>53</v>
      </c>
      <c r="F147" t="str">
        <f t="shared" si="4"/>
        <v>1122 &amp; out of range &amp; 32.5 - 33.0 &amp; 28.5 - 29.0 &amp; 5.0 - 10.0</v>
      </c>
      <c r="G147" t="str">
        <f t="shared" si="5"/>
        <v>1122 &amp; out of range &amp; 32.5 - 33.0 &amp; 28.5 - 29.0 &amp; 5.0 - 10.0 \\ \hline</v>
      </c>
    </row>
    <row r="148" spans="1:7" hidden="1" x14ac:dyDescent="0.35">
      <c r="A148">
        <v>22</v>
      </c>
      <c r="B148" t="s">
        <v>45</v>
      </c>
      <c r="C148" t="s">
        <v>43</v>
      </c>
      <c r="D148" t="s">
        <v>48</v>
      </c>
      <c r="E148" t="s">
        <v>45</v>
      </c>
      <c r="F148" t="str">
        <f t="shared" si="4"/>
        <v>22 &amp; out of range &amp; 32.5 - 33.0 &amp; 28.5 - 29.0 &amp; out of range</v>
      </c>
      <c r="G148" t="str">
        <f t="shared" si="5"/>
        <v>22 &amp; out of range &amp; 32.5 - 33.0 &amp; 28.5 - 29.0 &amp; out of range \\ \hline</v>
      </c>
    </row>
    <row r="149" spans="1:7" hidden="1" x14ac:dyDescent="0.35">
      <c r="A149">
        <v>19348</v>
      </c>
      <c r="B149" t="s">
        <v>45</v>
      </c>
      <c r="C149" t="s">
        <v>43</v>
      </c>
      <c r="D149" t="s">
        <v>54</v>
      </c>
      <c r="E149" t="s">
        <v>55</v>
      </c>
      <c r="F149" t="str">
        <f t="shared" si="4"/>
        <v>19348 &amp; out of range &amp; 32.5 - 33.0 &amp; 29.0 - 29.5 &amp; 0.0 - 5.0</v>
      </c>
      <c r="G149" t="str">
        <f t="shared" si="5"/>
        <v>19348 &amp; out of range &amp; 32.5 - 33.0 &amp; 29.0 - 29.5 &amp; 0.0 - 5.0 \\ \hline</v>
      </c>
    </row>
    <row r="150" spans="1:7" hidden="1" x14ac:dyDescent="0.35">
      <c r="A150">
        <v>108</v>
      </c>
      <c r="B150" t="s">
        <v>45</v>
      </c>
      <c r="C150" t="s">
        <v>43</v>
      </c>
      <c r="D150" t="s">
        <v>54</v>
      </c>
      <c r="E150" t="s">
        <v>52</v>
      </c>
      <c r="F150" t="str">
        <f t="shared" si="4"/>
        <v>108 &amp; out of range &amp; 32.5 - 33.0 &amp; 29.0 - 29.5 &amp; 10.0 - 15.0</v>
      </c>
      <c r="G150" t="str">
        <f t="shared" si="5"/>
        <v>108 &amp; out of range &amp; 32.5 - 33.0 &amp; 29.0 - 29.5 &amp; 10.0 - 15.0 \\ \hline</v>
      </c>
    </row>
    <row r="151" spans="1:7" hidden="1" x14ac:dyDescent="0.35">
      <c r="A151">
        <v>1</v>
      </c>
      <c r="B151" t="s">
        <v>45</v>
      </c>
      <c r="C151" t="s">
        <v>43</v>
      </c>
      <c r="D151" t="s">
        <v>54</v>
      </c>
      <c r="E151" t="s">
        <v>49</v>
      </c>
      <c r="F151" t="str">
        <f t="shared" si="4"/>
        <v>1 &amp; out of range &amp; 32.5 - 33.0 &amp; 29.0 - 29.5 &amp; 15.0 - 20.0</v>
      </c>
      <c r="G151" t="str">
        <f t="shared" si="5"/>
        <v>1 &amp; out of range &amp; 32.5 - 33.0 &amp; 29.0 - 29.5 &amp; 15.0 - 20.0 \\ \hline</v>
      </c>
    </row>
    <row r="152" spans="1:7" hidden="1" x14ac:dyDescent="0.35">
      <c r="A152">
        <v>14761</v>
      </c>
      <c r="B152" t="s">
        <v>45</v>
      </c>
      <c r="C152" t="s">
        <v>43</v>
      </c>
      <c r="D152" t="s">
        <v>54</v>
      </c>
      <c r="E152" t="s">
        <v>53</v>
      </c>
      <c r="F152" t="str">
        <f t="shared" si="4"/>
        <v>14761 &amp; out of range &amp; 32.5 - 33.0 &amp; 29.0 - 29.5 &amp; 5.0 - 10.0</v>
      </c>
      <c r="G152" t="str">
        <f t="shared" si="5"/>
        <v>14761 &amp; out of range &amp; 32.5 - 33.0 &amp; 29.0 - 29.5 &amp; 5.0 - 10.0 \\ \hline</v>
      </c>
    </row>
    <row r="153" spans="1:7" hidden="1" x14ac:dyDescent="0.35">
      <c r="A153">
        <v>20</v>
      </c>
      <c r="B153" t="s">
        <v>45</v>
      </c>
      <c r="C153" t="s">
        <v>43</v>
      </c>
      <c r="D153" t="s">
        <v>44</v>
      </c>
      <c r="E153" t="s">
        <v>45</v>
      </c>
      <c r="F153" t="str">
        <f t="shared" si="4"/>
        <v>20 &amp; out of range &amp; 32.5 - 33.0 &amp; no data avail &amp; out of range</v>
      </c>
      <c r="G153" t="str">
        <f t="shared" si="5"/>
        <v>20 &amp; out of range &amp; 32.5 - 33.0 &amp; no data avail &amp; out of range \\ \hline</v>
      </c>
    </row>
    <row r="154" spans="1:7" hidden="1" x14ac:dyDescent="0.35">
      <c r="A154">
        <v>406</v>
      </c>
      <c r="B154" t="s">
        <v>45</v>
      </c>
      <c r="C154" t="s">
        <v>47</v>
      </c>
      <c r="D154" t="s">
        <v>48</v>
      </c>
      <c r="E154" t="s">
        <v>52</v>
      </c>
      <c r="F154" t="str">
        <f t="shared" si="4"/>
        <v>406 &amp; out of range &amp; 33.0 - 33.5 &amp; 28.5 - 29.0 &amp; 10.0 - 15.0</v>
      </c>
      <c r="G154" t="str">
        <f t="shared" si="5"/>
        <v>406 &amp; out of range &amp; 33.0 - 33.5 &amp; 28.5 - 29.0 &amp; 10.0 - 15.0 \\ \hline</v>
      </c>
    </row>
    <row r="155" spans="1:7" hidden="1" x14ac:dyDescent="0.35">
      <c r="A155">
        <v>124</v>
      </c>
      <c r="B155" t="s">
        <v>45</v>
      </c>
      <c r="C155" t="s">
        <v>47</v>
      </c>
      <c r="D155" t="s">
        <v>48</v>
      </c>
      <c r="E155" t="s">
        <v>49</v>
      </c>
      <c r="F155" t="str">
        <f t="shared" si="4"/>
        <v>124 &amp; out of range &amp; 33.0 - 33.5 &amp; 28.5 - 29.0 &amp; 15.0 - 20.0</v>
      </c>
      <c r="G155" t="str">
        <f t="shared" si="5"/>
        <v>124 &amp; out of range &amp; 33.0 - 33.5 &amp; 28.5 - 29.0 &amp; 15.0 - 20.0 \\ \hline</v>
      </c>
    </row>
    <row r="156" spans="1:7" hidden="1" x14ac:dyDescent="0.35">
      <c r="A156">
        <v>387</v>
      </c>
      <c r="B156" t="s">
        <v>45</v>
      </c>
      <c r="C156" t="s">
        <v>47</v>
      </c>
      <c r="D156" t="s">
        <v>48</v>
      </c>
      <c r="E156" t="s">
        <v>53</v>
      </c>
      <c r="F156" t="str">
        <f t="shared" si="4"/>
        <v>387 &amp; out of range &amp; 33.0 - 33.5 &amp; 28.5 - 29.0 &amp; 5.0 - 10.0</v>
      </c>
      <c r="G156" t="str">
        <f t="shared" si="5"/>
        <v>387 &amp; out of range &amp; 33.0 - 33.5 &amp; 28.5 - 29.0 &amp; 5.0 - 10.0 \\ \hline</v>
      </c>
    </row>
    <row r="157" spans="1:7" hidden="1" x14ac:dyDescent="0.35">
      <c r="A157">
        <v>83</v>
      </c>
      <c r="B157" t="s">
        <v>45</v>
      </c>
      <c r="C157" t="s">
        <v>47</v>
      </c>
      <c r="D157" t="s">
        <v>48</v>
      </c>
      <c r="E157" t="s">
        <v>45</v>
      </c>
      <c r="F157" t="str">
        <f t="shared" si="4"/>
        <v>83 &amp; out of range &amp; 33.0 - 33.5 &amp; 28.5 - 29.0 &amp; out of range</v>
      </c>
      <c r="G157" t="str">
        <f t="shared" si="5"/>
        <v>83 &amp; out of range &amp; 33.0 - 33.5 &amp; 28.5 - 29.0 &amp; out of range \\ \hline</v>
      </c>
    </row>
    <row r="158" spans="1:7" hidden="1" x14ac:dyDescent="0.35">
      <c r="A158">
        <v>1438</v>
      </c>
      <c r="B158" t="s">
        <v>45</v>
      </c>
      <c r="C158" t="s">
        <v>47</v>
      </c>
      <c r="D158" t="s">
        <v>54</v>
      </c>
      <c r="E158" t="s">
        <v>55</v>
      </c>
      <c r="F158" t="str">
        <f t="shared" si="4"/>
        <v>1438 &amp; out of range &amp; 33.0 - 33.5 &amp; 29.0 - 29.5 &amp; 0.0 - 5.0</v>
      </c>
      <c r="G158" t="str">
        <f t="shared" si="5"/>
        <v>1438 &amp; out of range &amp; 33.0 - 33.5 &amp; 29.0 - 29.5 &amp; 0.0 - 5.0 \\ \hline</v>
      </c>
    </row>
    <row r="159" spans="1:7" hidden="1" x14ac:dyDescent="0.35">
      <c r="A159">
        <v>24</v>
      </c>
      <c r="B159" t="s">
        <v>45</v>
      </c>
      <c r="C159" t="s">
        <v>47</v>
      </c>
      <c r="D159" t="s">
        <v>54</v>
      </c>
      <c r="E159" t="s">
        <v>52</v>
      </c>
      <c r="F159" t="str">
        <f t="shared" si="4"/>
        <v>24 &amp; out of range &amp; 33.0 - 33.5 &amp; 29.0 - 29.5 &amp; 10.0 - 15.0</v>
      </c>
      <c r="G159" t="str">
        <f t="shared" si="5"/>
        <v>24 &amp; out of range &amp; 33.0 - 33.5 &amp; 29.0 - 29.5 &amp; 10.0 - 15.0 \\ \hline</v>
      </c>
    </row>
    <row r="160" spans="1:7" hidden="1" x14ac:dyDescent="0.35">
      <c r="A160">
        <v>1450</v>
      </c>
      <c r="B160" t="s">
        <v>45</v>
      </c>
      <c r="C160" t="s">
        <v>47</v>
      </c>
      <c r="D160" t="s">
        <v>54</v>
      </c>
      <c r="E160" t="s">
        <v>53</v>
      </c>
      <c r="F160" t="str">
        <f t="shared" si="4"/>
        <v>1450 &amp; out of range &amp; 33.0 - 33.5 &amp; 29.0 - 29.5 &amp; 5.0 - 10.0</v>
      </c>
      <c r="G160" t="str">
        <f t="shared" si="5"/>
        <v>1450 &amp; out of range &amp; 33.0 - 33.5 &amp; 29.0 - 29.5 &amp; 5.0 - 10.0 \\ \hline</v>
      </c>
    </row>
    <row r="161" spans="1:7" hidden="1" x14ac:dyDescent="0.35">
      <c r="A161">
        <v>3</v>
      </c>
      <c r="B161" t="s">
        <v>45</v>
      </c>
      <c r="C161" t="s">
        <v>44</v>
      </c>
      <c r="D161" t="s">
        <v>44</v>
      </c>
      <c r="E161" t="s">
        <v>44</v>
      </c>
      <c r="F161" t="str">
        <f t="shared" si="4"/>
        <v>3 &amp; out of range &amp; no data avail &amp; no data avail &amp; no data avail</v>
      </c>
      <c r="G161" t="str">
        <f t="shared" si="5"/>
        <v>3 &amp; out of range &amp; no data avail &amp; no data avail &amp; no data avail \\ \hline</v>
      </c>
    </row>
    <row r="162" spans="1:7" hidden="1" x14ac:dyDescent="0.35">
      <c r="A162">
        <v>1</v>
      </c>
      <c r="B162" t="s">
        <v>45</v>
      </c>
      <c r="C162" t="s">
        <v>44</v>
      </c>
      <c r="D162" t="s">
        <v>44</v>
      </c>
      <c r="E162" t="s">
        <v>45</v>
      </c>
      <c r="F162" t="str">
        <f t="shared" si="4"/>
        <v>1 &amp; out of range &amp; no data avail &amp; no data avail &amp; out of range</v>
      </c>
      <c r="G162" t="str">
        <f t="shared" si="5"/>
        <v>1 &amp; out of range &amp; no data avail &amp; no data avail &amp; out of range \\ \hline</v>
      </c>
    </row>
  </sheetData>
  <autoFilter ref="A1:E162" xr:uid="{B9269402-0DE1-4C91-AADC-4D6C71906B89}">
    <filterColumn colId="1">
      <filters>
        <filter val="4.0 - 4.5"/>
        <filter val="4.5 - 5.0"/>
        <filter val="5.0 - 5.5"/>
        <filter val="5.5 - 6.0"/>
        <filter val="6.0 - 6.5"/>
        <filter val="6.5 - 7.0"/>
        <filter val="7.0 - 7.5"/>
        <filter val="7.5 - 8.0"/>
      </filters>
    </filterColumn>
    <filterColumn colId="2">
      <filters>
        <filter val="32.5 - 33.0"/>
        <filter val="33.0 - 33.5"/>
      </filters>
    </filterColumn>
    <filterColumn colId="3">
      <filters>
        <filter val="27.5 - 28.0"/>
        <filter val="28.5 - 29.0"/>
        <filter val="29.0 - 29.5"/>
      </filters>
    </filterColumn>
    <filterColumn colId="4">
      <filters>
        <filter val="0.0 - 5.0"/>
        <filter val="10.0 - 15.0"/>
        <filter val="15.0 - 20.0"/>
        <filter val="5.0 - 10.0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1675-F8C6-4F2A-9939-5B0E7F233008}">
  <sheetPr filterMode="1"/>
  <dimension ref="A1:G113"/>
  <sheetViews>
    <sheetView tabSelected="1" topLeftCell="B1" workbookViewId="0">
      <selection activeCell="F12" sqref="F12"/>
    </sheetView>
  </sheetViews>
  <sheetFormatPr defaultRowHeight="14.5" x14ac:dyDescent="0.35"/>
  <cols>
    <col min="1" max="1" width="11.26953125" bestFit="1" customWidth="1"/>
    <col min="2" max="5" width="11.453125" bestFit="1" customWidth="1"/>
    <col min="6" max="6" width="54" bestFit="1" customWidth="1"/>
    <col min="7" max="7" width="61.54296875" bestFit="1" customWidth="1"/>
    <col min="8" max="8" width="29.26953125" bestFit="1" customWidth="1"/>
    <col min="9" max="9" width="18" bestFit="1" customWidth="1"/>
  </cols>
  <sheetData>
    <row r="1" spans="1:7" x14ac:dyDescent="0.35">
      <c r="A1" t="s">
        <v>41</v>
      </c>
      <c r="B1" t="s">
        <v>37</v>
      </c>
      <c r="C1" t="s">
        <v>38</v>
      </c>
      <c r="D1" t="s">
        <v>39</v>
      </c>
      <c r="E1" t="s">
        <v>40</v>
      </c>
    </row>
    <row r="2" spans="1:7" hidden="1" x14ac:dyDescent="0.35">
      <c r="A2">
        <v>2</v>
      </c>
      <c r="B2" t="s">
        <v>46</v>
      </c>
      <c r="C2" t="s">
        <v>43</v>
      </c>
      <c r="D2" t="s">
        <v>48</v>
      </c>
      <c r="E2" t="s">
        <v>45</v>
      </c>
      <c r="F2" t="str">
        <f t="shared" ref="F2:F65" si="0">_xlfn.TEXTJOIN(" &amp; ",TRUE,A2:E2)</f>
        <v>2 &amp; 4.0 - 4.5 &amp; 32.5 - 33.0 &amp; 28.5 - 29.0 &amp; out of range</v>
      </c>
      <c r="G2" t="str">
        <f t="shared" ref="G2:G65" si="1">_xlfn.CONCAT(F2," \\ \hline")</f>
        <v>2 &amp; 4.0 - 4.5 &amp; 32.5 - 33.0 &amp; 28.5 - 29.0 &amp; out of range \\ \hline</v>
      </c>
    </row>
    <row r="3" spans="1:7" x14ac:dyDescent="0.35">
      <c r="A3">
        <v>1</v>
      </c>
      <c r="B3" t="s">
        <v>46</v>
      </c>
      <c r="C3" t="s">
        <v>43</v>
      </c>
      <c r="D3" t="s">
        <v>54</v>
      </c>
      <c r="E3" t="s">
        <v>53</v>
      </c>
      <c r="F3" t="str">
        <f t="shared" si="0"/>
        <v>1 &amp; 4.0 - 4.5 &amp; 32.5 - 33.0 &amp; 29.0 - 29.5 &amp; 5.0 - 10.0</v>
      </c>
      <c r="G3" t="str">
        <f t="shared" si="1"/>
        <v>1 &amp; 4.0 - 4.5 &amp; 32.5 - 33.0 &amp; 29.0 - 29.5 &amp; 5.0 - 10.0 \\ \hline</v>
      </c>
    </row>
    <row r="4" spans="1:7" hidden="1" x14ac:dyDescent="0.35">
      <c r="A4">
        <v>2</v>
      </c>
      <c r="B4" t="s">
        <v>46</v>
      </c>
      <c r="C4" t="s">
        <v>43</v>
      </c>
      <c r="D4" t="s">
        <v>44</v>
      </c>
      <c r="E4" t="s">
        <v>45</v>
      </c>
      <c r="F4" t="str">
        <f t="shared" si="0"/>
        <v>2 &amp; 4.0 - 4.5 &amp; 32.5 - 33.0 &amp; no data avail &amp; out of range</v>
      </c>
      <c r="G4" t="str">
        <f t="shared" si="1"/>
        <v>2 &amp; 4.0 - 4.5 &amp; 32.5 - 33.0 &amp; no data avail &amp; out of range \\ \hline</v>
      </c>
    </row>
    <row r="5" spans="1:7" x14ac:dyDescent="0.35">
      <c r="A5">
        <v>5</v>
      </c>
      <c r="B5" t="s">
        <v>51</v>
      </c>
      <c r="C5" t="s">
        <v>43</v>
      </c>
      <c r="D5" t="s">
        <v>48</v>
      </c>
      <c r="E5" t="s">
        <v>52</v>
      </c>
      <c r="F5" t="str">
        <f t="shared" si="0"/>
        <v>5 &amp; 4.5 - 5.0 &amp; 32.5 - 33.0 &amp; 28.5 - 29.0 &amp; 10.0 - 15.0</v>
      </c>
      <c r="G5" t="str">
        <f t="shared" si="1"/>
        <v>5 &amp; 4.5 - 5.0 &amp; 32.5 - 33.0 &amp; 28.5 - 29.0 &amp; 10.0 - 15.0 \\ \hline</v>
      </c>
    </row>
    <row r="6" spans="1:7" hidden="1" x14ac:dyDescent="0.35">
      <c r="A6">
        <v>2</v>
      </c>
      <c r="B6" t="s">
        <v>51</v>
      </c>
      <c r="C6" t="s">
        <v>43</v>
      </c>
      <c r="D6" t="s">
        <v>48</v>
      </c>
      <c r="E6" t="s">
        <v>45</v>
      </c>
      <c r="F6" t="str">
        <f t="shared" si="0"/>
        <v>2 &amp; 4.5 - 5.0 &amp; 32.5 - 33.0 &amp; 28.5 - 29.0 &amp; out of range</v>
      </c>
      <c r="G6" t="str">
        <f t="shared" si="1"/>
        <v>2 &amp; 4.5 - 5.0 &amp; 32.5 - 33.0 &amp; 28.5 - 29.0 &amp; out of range \\ \hline</v>
      </c>
    </row>
    <row r="7" spans="1:7" x14ac:dyDescent="0.35">
      <c r="A7">
        <v>1</v>
      </c>
      <c r="B7" t="s">
        <v>51</v>
      </c>
      <c r="C7" t="s">
        <v>43</v>
      </c>
      <c r="D7" t="s">
        <v>54</v>
      </c>
      <c r="E7" t="s">
        <v>52</v>
      </c>
      <c r="F7" t="str">
        <f t="shared" si="0"/>
        <v>1 &amp; 4.5 - 5.0 &amp; 32.5 - 33.0 &amp; 29.0 - 29.5 &amp; 10.0 - 15.0</v>
      </c>
      <c r="G7" t="str">
        <f t="shared" si="1"/>
        <v>1 &amp; 4.5 - 5.0 &amp; 32.5 - 33.0 &amp; 29.0 - 29.5 &amp; 10.0 - 15.0 \\ \hline</v>
      </c>
    </row>
    <row r="8" spans="1:7" x14ac:dyDescent="0.35">
      <c r="A8">
        <v>1</v>
      </c>
      <c r="B8" t="s">
        <v>51</v>
      </c>
      <c r="C8" t="s">
        <v>43</v>
      </c>
      <c r="D8" t="s">
        <v>54</v>
      </c>
      <c r="E8" t="s">
        <v>49</v>
      </c>
      <c r="F8" t="str">
        <f t="shared" si="0"/>
        <v>1 &amp; 4.5 - 5.0 &amp; 32.5 - 33.0 &amp; 29.0 - 29.5 &amp; 15.0 - 20.0</v>
      </c>
      <c r="G8" t="str">
        <f t="shared" si="1"/>
        <v>1 &amp; 4.5 - 5.0 &amp; 32.5 - 33.0 &amp; 29.0 - 29.5 &amp; 15.0 - 20.0 \\ \hline</v>
      </c>
    </row>
    <row r="9" spans="1:7" x14ac:dyDescent="0.35">
      <c r="A9">
        <v>1</v>
      </c>
      <c r="B9" t="s">
        <v>51</v>
      </c>
      <c r="C9" t="s">
        <v>43</v>
      </c>
      <c r="D9" t="s">
        <v>54</v>
      </c>
      <c r="E9" t="s">
        <v>53</v>
      </c>
      <c r="F9" t="str">
        <f t="shared" si="0"/>
        <v>1 &amp; 4.5 - 5.0 &amp; 32.5 - 33.0 &amp; 29.0 - 29.5 &amp; 5.0 - 10.0</v>
      </c>
      <c r="G9" t="str">
        <f t="shared" si="1"/>
        <v>1 &amp; 4.5 - 5.0 &amp; 32.5 - 33.0 &amp; 29.0 - 29.5 &amp; 5.0 - 10.0 \\ \hline</v>
      </c>
    </row>
    <row r="10" spans="1:7" hidden="1" x14ac:dyDescent="0.35">
      <c r="A10">
        <v>10</v>
      </c>
      <c r="B10" t="s">
        <v>51</v>
      </c>
      <c r="C10" t="s">
        <v>43</v>
      </c>
      <c r="D10" t="s">
        <v>44</v>
      </c>
      <c r="E10" t="s">
        <v>45</v>
      </c>
      <c r="F10" t="str">
        <f t="shared" si="0"/>
        <v>10 &amp; 4.5 - 5.0 &amp; 32.5 - 33.0 &amp; no data avail &amp; out of range</v>
      </c>
      <c r="G10" t="str">
        <f t="shared" si="1"/>
        <v>10 &amp; 4.5 - 5.0 &amp; 32.5 - 33.0 &amp; no data avail &amp; out of range \\ \hline</v>
      </c>
    </row>
    <row r="11" spans="1:7" hidden="1" x14ac:dyDescent="0.35">
      <c r="A11">
        <v>3</v>
      </c>
      <c r="B11" t="s">
        <v>51</v>
      </c>
      <c r="C11" t="s">
        <v>47</v>
      </c>
      <c r="D11" t="s">
        <v>48</v>
      </c>
      <c r="E11" t="s">
        <v>45</v>
      </c>
      <c r="F11" t="str">
        <f t="shared" si="0"/>
        <v>3 &amp; 4.5 - 5.0 &amp; 33.0 - 33.5 &amp; 28.5 - 29.0 &amp; out of range</v>
      </c>
      <c r="G11" t="str">
        <f t="shared" si="1"/>
        <v>3 &amp; 4.5 - 5.0 &amp; 33.0 - 33.5 &amp; 28.5 - 29.0 &amp; out of range \\ \hline</v>
      </c>
    </row>
    <row r="12" spans="1:7" x14ac:dyDescent="0.35">
      <c r="A12">
        <v>18</v>
      </c>
      <c r="B12" t="s">
        <v>58</v>
      </c>
      <c r="C12" t="s">
        <v>43</v>
      </c>
      <c r="D12" t="s">
        <v>48</v>
      </c>
      <c r="E12" t="s">
        <v>52</v>
      </c>
      <c r="F12" t="str">
        <f t="shared" si="0"/>
        <v>18 &amp; 5.0 - 5.5 &amp; 32.5 - 33.0 &amp; 28.5 - 29.0 &amp; 10.0 - 15.0</v>
      </c>
      <c r="G12" t="str">
        <f t="shared" si="1"/>
        <v>18 &amp; 5.0 - 5.5 &amp; 32.5 - 33.0 &amp; 28.5 - 29.0 &amp; 10.0 - 15.0 \\ \hline</v>
      </c>
    </row>
    <row r="13" spans="1:7" x14ac:dyDescent="0.35">
      <c r="A13">
        <v>1</v>
      </c>
      <c r="B13" t="s">
        <v>58</v>
      </c>
      <c r="C13" t="s">
        <v>43</v>
      </c>
      <c r="D13" t="s">
        <v>48</v>
      </c>
      <c r="E13" t="s">
        <v>49</v>
      </c>
      <c r="F13" t="str">
        <f t="shared" si="0"/>
        <v>1 &amp; 5.0 - 5.5 &amp; 32.5 - 33.0 &amp; 28.5 - 29.0 &amp; 15.0 - 20.0</v>
      </c>
      <c r="G13" t="str">
        <f t="shared" si="1"/>
        <v>1 &amp; 5.0 - 5.5 &amp; 32.5 - 33.0 &amp; 28.5 - 29.0 &amp; 15.0 - 20.0 \\ \hline</v>
      </c>
    </row>
    <row r="14" spans="1:7" hidden="1" x14ac:dyDescent="0.35">
      <c r="A14">
        <v>10</v>
      </c>
      <c r="B14" t="s">
        <v>58</v>
      </c>
      <c r="C14" t="s">
        <v>43</v>
      </c>
      <c r="D14" t="s">
        <v>48</v>
      </c>
      <c r="E14" t="s">
        <v>45</v>
      </c>
      <c r="F14" t="str">
        <f t="shared" si="0"/>
        <v>10 &amp; 5.0 - 5.5 &amp; 32.5 - 33.0 &amp; 28.5 - 29.0 &amp; out of range</v>
      </c>
      <c r="G14" t="str">
        <f t="shared" si="1"/>
        <v>10 &amp; 5.0 - 5.5 &amp; 32.5 - 33.0 &amp; 28.5 - 29.0 &amp; out of range \\ \hline</v>
      </c>
    </row>
    <row r="15" spans="1:7" x14ac:dyDescent="0.35">
      <c r="A15">
        <v>36</v>
      </c>
      <c r="B15" t="s">
        <v>58</v>
      </c>
      <c r="C15" t="s">
        <v>43</v>
      </c>
      <c r="D15" t="s">
        <v>54</v>
      </c>
      <c r="E15" t="s">
        <v>52</v>
      </c>
      <c r="F15" t="str">
        <f t="shared" si="0"/>
        <v>36 &amp; 5.0 - 5.5 &amp; 32.5 - 33.0 &amp; 29.0 - 29.5 &amp; 10.0 - 15.0</v>
      </c>
      <c r="G15" t="str">
        <f t="shared" si="1"/>
        <v>36 &amp; 5.0 - 5.5 &amp; 32.5 - 33.0 &amp; 29.0 - 29.5 &amp; 10.0 - 15.0 \\ \hline</v>
      </c>
    </row>
    <row r="16" spans="1:7" x14ac:dyDescent="0.35">
      <c r="A16">
        <v>14</v>
      </c>
      <c r="B16" t="s">
        <v>58</v>
      </c>
      <c r="C16" t="s">
        <v>43</v>
      </c>
      <c r="D16" t="s">
        <v>54</v>
      </c>
      <c r="E16" t="s">
        <v>53</v>
      </c>
      <c r="F16" t="str">
        <f t="shared" si="0"/>
        <v>14 &amp; 5.0 - 5.5 &amp; 32.5 - 33.0 &amp; 29.0 - 29.5 &amp; 5.0 - 10.0</v>
      </c>
      <c r="G16" t="str">
        <f t="shared" si="1"/>
        <v>14 &amp; 5.0 - 5.5 &amp; 32.5 - 33.0 &amp; 29.0 - 29.5 &amp; 5.0 - 10.0 \\ \hline</v>
      </c>
    </row>
    <row r="17" spans="1:7" hidden="1" x14ac:dyDescent="0.35">
      <c r="A17">
        <v>5</v>
      </c>
      <c r="B17" t="s">
        <v>58</v>
      </c>
      <c r="C17" t="s">
        <v>43</v>
      </c>
      <c r="D17" t="s">
        <v>44</v>
      </c>
      <c r="E17" t="s">
        <v>45</v>
      </c>
      <c r="F17" t="str">
        <f t="shared" si="0"/>
        <v>5 &amp; 5.0 - 5.5 &amp; 32.5 - 33.0 &amp; no data avail &amp; out of range</v>
      </c>
      <c r="G17" t="str">
        <f t="shared" si="1"/>
        <v>5 &amp; 5.0 - 5.5 &amp; 32.5 - 33.0 &amp; no data avail &amp; out of range \\ \hline</v>
      </c>
    </row>
    <row r="18" spans="1:7" hidden="1" x14ac:dyDescent="0.35">
      <c r="A18">
        <v>8</v>
      </c>
      <c r="B18" t="s">
        <v>58</v>
      </c>
      <c r="C18" t="s">
        <v>47</v>
      </c>
      <c r="D18" t="s">
        <v>48</v>
      </c>
      <c r="E18" t="s">
        <v>45</v>
      </c>
      <c r="F18" t="str">
        <f t="shared" si="0"/>
        <v>8 &amp; 5.0 - 5.5 &amp; 33.0 - 33.5 &amp; 28.5 - 29.0 &amp; out of range</v>
      </c>
      <c r="G18" t="str">
        <f t="shared" si="1"/>
        <v>8 &amp; 5.0 - 5.5 &amp; 33.0 - 33.5 &amp; 28.5 - 29.0 &amp; out of range \\ \hline</v>
      </c>
    </row>
    <row r="19" spans="1:7" x14ac:dyDescent="0.35">
      <c r="A19">
        <v>40</v>
      </c>
      <c r="B19" t="s">
        <v>59</v>
      </c>
      <c r="C19" t="s">
        <v>43</v>
      </c>
      <c r="D19" t="s">
        <v>48</v>
      </c>
      <c r="E19" t="s">
        <v>52</v>
      </c>
      <c r="F19" t="str">
        <f t="shared" si="0"/>
        <v>40 &amp; 5.5 - 6.0 &amp; 32.5 - 33.0 &amp; 28.5 - 29.0 &amp; 10.0 - 15.0</v>
      </c>
      <c r="G19" t="str">
        <f t="shared" si="1"/>
        <v>40 &amp; 5.5 - 6.0 &amp; 32.5 - 33.0 &amp; 28.5 - 29.0 &amp; 10.0 - 15.0 \\ \hline</v>
      </c>
    </row>
    <row r="20" spans="1:7" x14ac:dyDescent="0.35">
      <c r="A20">
        <v>3</v>
      </c>
      <c r="B20" t="s">
        <v>59</v>
      </c>
      <c r="C20" t="s">
        <v>43</v>
      </c>
      <c r="D20" t="s">
        <v>48</v>
      </c>
      <c r="E20" t="s">
        <v>53</v>
      </c>
      <c r="F20" t="str">
        <f t="shared" si="0"/>
        <v>3 &amp; 5.5 - 6.0 &amp; 32.5 - 33.0 &amp; 28.5 - 29.0 &amp; 5.0 - 10.0</v>
      </c>
      <c r="G20" t="str">
        <f t="shared" si="1"/>
        <v>3 &amp; 5.5 - 6.0 &amp; 32.5 - 33.0 &amp; 28.5 - 29.0 &amp; 5.0 - 10.0 \\ \hline</v>
      </c>
    </row>
    <row r="21" spans="1:7" hidden="1" x14ac:dyDescent="0.35">
      <c r="A21">
        <v>8</v>
      </c>
      <c r="B21" t="s">
        <v>59</v>
      </c>
      <c r="C21" t="s">
        <v>43</v>
      </c>
      <c r="D21" t="s">
        <v>48</v>
      </c>
      <c r="E21" t="s">
        <v>45</v>
      </c>
      <c r="F21" t="str">
        <f t="shared" si="0"/>
        <v>8 &amp; 5.5 - 6.0 &amp; 32.5 - 33.0 &amp; 28.5 - 29.0 &amp; out of range</v>
      </c>
      <c r="G21" t="str">
        <f t="shared" si="1"/>
        <v>8 &amp; 5.5 - 6.0 &amp; 32.5 - 33.0 &amp; 28.5 - 29.0 &amp; out of range \\ \hline</v>
      </c>
    </row>
    <row r="22" spans="1:7" x14ac:dyDescent="0.35">
      <c r="A22">
        <v>8</v>
      </c>
      <c r="B22" t="s">
        <v>59</v>
      </c>
      <c r="C22" t="s">
        <v>43</v>
      </c>
      <c r="D22" t="s">
        <v>54</v>
      </c>
      <c r="E22" t="s">
        <v>55</v>
      </c>
      <c r="F22" t="str">
        <f t="shared" si="0"/>
        <v>8 &amp; 5.5 - 6.0 &amp; 32.5 - 33.0 &amp; 29.0 - 29.5 &amp; 0.0 - 5.0</v>
      </c>
      <c r="G22" t="str">
        <f t="shared" si="1"/>
        <v>8 &amp; 5.5 - 6.0 &amp; 32.5 - 33.0 &amp; 29.0 - 29.5 &amp; 0.0 - 5.0 \\ \hline</v>
      </c>
    </row>
    <row r="23" spans="1:7" x14ac:dyDescent="0.35">
      <c r="A23">
        <v>96</v>
      </c>
      <c r="B23" t="s">
        <v>59</v>
      </c>
      <c r="C23" t="s">
        <v>43</v>
      </c>
      <c r="D23" t="s">
        <v>54</v>
      </c>
      <c r="E23" t="s">
        <v>52</v>
      </c>
      <c r="F23" t="str">
        <f t="shared" si="0"/>
        <v>96 &amp; 5.5 - 6.0 &amp; 32.5 - 33.0 &amp; 29.0 - 29.5 &amp; 10.0 - 15.0</v>
      </c>
      <c r="G23" t="str">
        <f t="shared" si="1"/>
        <v>96 &amp; 5.5 - 6.0 &amp; 32.5 - 33.0 &amp; 29.0 - 29.5 &amp; 10.0 - 15.0 \\ \hline</v>
      </c>
    </row>
    <row r="24" spans="1:7" x14ac:dyDescent="0.35">
      <c r="A24">
        <v>176</v>
      </c>
      <c r="B24" t="s">
        <v>59</v>
      </c>
      <c r="C24" t="s">
        <v>43</v>
      </c>
      <c r="D24" t="s">
        <v>54</v>
      </c>
      <c r="E24" t="s">
        <v>53</v>
      </c>
      <c r="F24" t="str">
        <f t="shared" si="0"/>
        <v>176 &amp; 5.5 - 6.0 &amp; 32.5 - 33.0 &amp; 29.0 - 29.5 &amp; 5.0 - 10.0</v>
      </c>
      <c r="G24" t="str">
        <f t="shared" si="1"/>
        <v>176 &amp; 5.5 - 6.0 &amp; 32.5 - 33.0 &amp; 29.0 - 29.5 &amp; 5.0 - 10.0 \\ \hline</v>
      </c>
    </row>
    <row r="25" spans="1:7" hidden="1" x14ac:dyDescent="0.35">
      <c r="A25">
        <v>10</v>
      </c>
      <c r="B25" t="s">
        <v>59</v>
      </c>
      <c r="C25" t="s">
        <v>43</v>
      </c>
      <c r="D25" t="s">
        <v>44</v>
      </c>
      <c r="E25" t="s">
        <v>45</v>
      </c>
      <c r="F25" t="str">
        <f t="shared" si="0"/>
        <v>10 &amp; 5.5 - 6.0 &amp; 32.5 - 33.0 &amp; no data avail &amp; out of range</v>
      </c>
      <c r="G25" t="str">
        <f t="shared" si="1"/>
        <v>10 &amp; 5.5 - 6.0 &amp; 32.5 - 33.0 &amp; no data avail &amp; out of range \\ \hline</v>
      </c>
    </row>
    <row r="26" spans="1:7" x14ac:dyDescent="0.35">
      <c r="A26">
        <v>1</v>
      </c>
      <c r="B26" t="s">
        <v>59</v>
      </c>
      <c r="C26" t="s">
        <v>47</v>
      </c>
      <c r="D26" t="s">
        <v>48</v>
      </c>
      <c r="E26" t="s">
        <v>52</v>
      </c>
      <c r="F26" t="str">
        <f t="shared" si="0"/>
        <v>1 &amp; 5.5 - 6.0 &amp; 33.0 - 33.5 &amp; 28.5 - 29.0 &amp; 10.0 - 15.0</v>
      </c>
      <c r="G26" t="str">
        <f t="shared" si="1"/>
        <v>1 &amp; 5.5 - 6.0 &amp; 33.0 - 33.5 &amp; 28.5 - 29.0 &amp; 10.0 - 15.0 \\ \hline</v>
      </c>
    </row>
    <row r="27" spans="1:7" hidden="1" x14ac:dyDescent="0.35">
      <c r="A27">
        <v>15</v>
      </c>
      <c r="B27" t="s">
        <v>59</v>
      </c>
      <c r="C27" t="s">
        <v>47</v>
      </c>
      <c r="D27" t="s">
        <v>48</v>
      </c>
      <c r="E27" t="s">
        <v>45</v>
      </c>
      <c r="F27" t="str">
        <f t="shared" si="0"/>
        <v>15 &amp; 5.5 - 6.0 &amp; 33.0 - 33.5 &amp; 28.5 - 29.0 &amp; out of range</v>
      </c>
      <c r="G27" t="str">
        <f t="shared" si="1"/>
        <v>15 &amp; 5.5 - 6.0 &amp; 33.0 - 33.5 &amp; 28.5 - 29.0 &amp; out of range \\ \hline</v>
      </c>
    </row>
    <row r="28" spans="1:7" x14ac:dyDescent="0.35">
      <c r="A28">
        <v>80</v>
      </c>
      <c r="B28" t="s">
        <v>60</v>
      </c>
      <c r="C28" t="s">
        <v>43</v>
      </c>
      <c r="D28" t="s">
        <v>48</v>
      </c>
      <c r="E28" t="s">
        <v>52</v>
      </c>
      <c r="F28" t="str">
        <f t="shared" si="0"/>
        <v>80 &amp; 6.0 - 6.5 &amp; 32.5 - 33.0 &amp; 28.5 - 29.0 &amp; 10.0 - 15.0</v>
      </c>
      <c r="G28" t="str">
        <f t="shared" si="1"/>
        <v>80 &amp; 6.0 - 6.5 &amp; 32.5 - 33.0 &amp; 28.5 - 29.0 &amp; 10.0 - 15.0 \\ \hline</v>
      </c>
    </row>
    <row r="29" spans="1:7" x14ac:dyDescent="0.35">
      <c r="A29">
        <v>1</v>
      </c>
      <c r="B29" t="s">
        <v>60</v>
      </c>
      <c r="C29" t="s">
        <v>43</v>
      </c>
      <c r="D29" t="s">
        <v>48</v>
      </c>
      <c r="E29" t="s">
        <v>49</v>
      </c>
      <c r="F29" t="str">
        <f t="shared" si="0"/>
        <v>1 &amp; 6.0 - 6.5 &amp; 32.5 - 33.0 &amp; 28.5 - 29.0 &amp; 15.0 - 20.0</v>
      </c>
      <c r="G29" t="str">
        <f t="shared" si="1"/>
        <v>1 &amp; 6.0 - 6.5 &amp; 32.5 - 33.0 &amp; 28.5 - 29.0 &amp; 15.0 - 20.0 \\ \hline</v>
      </c>
    </row>
    <row r="30" spans="1:7" x14ac:dyDescent="0.35">
      <c r="A30">
        <v>45</v>
      </c>
      <c r="B30" t="s">
        <v>60</v>
      </c>
      <c r="C30" t="s">
        <v>43</v>
      </c>
      <c r="D30" t="s">
        <v>48</v>
      </c>
      <c r="E30" t="s">
        <v>53</v>
      </c>
      <c r="F30" t="str">
        <f t="shared" si="0"/>
        <v>45 &amp; 6.0 - 6.5 &amp; 32.5 - 33.0 &amp; 28.5 - 29.0 &amp; 5.0 - 10.0</v>
      </c>
      <c r="G30" t="str">
        <f t="shared" si="1"/>
        <v>45 &amp; 6.0 - 6.5 &amp; 32.5 - 33.0 &amp; 28.5 - 29.0 &amp; 5.0 - 10.0 \\ \hline</v>
      </c>
    </row>
    <row r="31" spans="1:7" hidden="1" x14ac:dyDescent="0.35">
      <c r="A31">
        <v>3</v>
      </c>
      <c r="B31" t="s">
        <v>60</v>
      </c>
      <c r="C31" t="s">
        <v>43</v>
      </c>
      <c r="D31" t="s">
        <v>48</v>
      </c>
      <c r="E31" t="s">
        <v>45</v>
      </c>
      <c r="F31" t="str">
        <f t="shared" si="0"/>
        <v>3 &amp; 6.0 - 6.5 &amp; 32.5 - 33.0 &amp; 28.5 - 29.0 &amp; out of range</v>
      </c>
      <c r="G31" t="str">
        <f t="shared" si="1"/>
        <v>3 &amp; 6.0 - 6.5 &amp; 32.5 - 33.0 &amp; 28.5 - 29.0 &amp; out of range \\ \hline</v>
      </c>
    </row>
    <row r="32" spans="1:7" x14ac:dyDescent="0.35">
      <c r="A32">
        <v>206</v>
      </c>
      <c r="B32" t="s">
        <v>60</v>
      </c>
      <c r="C32" t="s">
        <v>43</v>
      </c>
      <c r="D32" t="s">
        <v>54</v>
      </c>
      <c r="E32" t="s">
        <v>55</v>
      </c>
      <c r="F32" t="str">
        <f t="shared" si="0"/>
        <v>206 &amp; 6.0 - 6.5 &amp; 32.5 - 33.0 &amp; 29.0 - 29.5 &amp; 0.0 - 5.0</v>
      </c>
      <c r="G32" t="str">
        <f t="shared" si="1"/>
        <v>206 &amp; 6.0 - 6.5 &amp; 32.5 - 33.0 &amp; 29.0 - 29.5 &amp; 0.0 - 5.0 \\ \hline</v>
      </c>
    </row>
    <row r="33" spans="1:7" x14ac:dyDescent="0.35">
      <c r="A33">
        <v>182</v>
      </c>
      <c r="B33" t="s">
        <v>60</v>
      </c>
      <c r="C33" t="s">
        <v>43</v>
      </c>
      <c r="D33" t="s">
        <v>54</v>
      </c>
      <c r="E33" t="s">
        <v>52</v>
      </c>
      <c r="F33" t="str">
        <f t="shared" si="0"/>
        <v>182 &amp; 6.0 - 6.5 &amp; 32.5 - 33.0 &amp; 29.0 - 29.5 &amp; 10.0 - 15.0</v>
      </c>
      <c r="G33" t="str">
        <f t="shared" si="1"/>
        <v>182 &amp; 6.0 - 6.5 &amp; 32.5 - 33.0 &amp; 29.0 - 29.5 &amp; 10.0 - 15.0 \\ \hline</v>
      </c>
    </row>
    <row r="34" spans="1:7" x14ac:dyDescent="0.35">
      <c r="A34">
        <v>1709</v>
      </c>
      <c r="B34" t="s">
        <v>60</v>
      </c>
      <c r="C34" t="s">
        <v>43</v>
      </c>
      <c r="D34" t="s">
        <v>54</v>
      </c>
      <c r="E34" t="s">
        <v>53</v>
      </c>
      <c r="F34" t="str">
        <f t="shared" si="0"/>
        <v>1709 &amp; 6.0 - 6.5 &amp; 32.5 - 33.0 &amp; 29.0 - 29.5 &amp; 5.0 - 10.0</v>
      </c>
      <c r="G34" t="str">
        <f t="shared" si="1"/>
        <v>1709 &amp; 6.0 - 6.5 &amp; 32.5 - 33.0 &amp; 29.0 - 29.5 &amp; 5.0 - 10.0 \\ \hline</v>
      </c>
    </row>
    <row r="35" spans="1:7" hidden="1" x14ac:dyDescent="0.35">
      <c r="A35">
        <v>1</v>
      </c>
      <c r="B35" t="s">
        <v>60</v>
      </c>
      <c r="C35" t="s">
        <v>43</v>
      </c>
      <c r="D35" t="s">
        <v>44</v>
      </c>
      <c r="E35" t="s">
        <v>45</v>
      </c>
      <c r="F35" t="str">
        <f t="shared" si="0"/>
        <v>1 &amp; 6.0 - 6.5 &amp; 32.5 - 33.0 &amp; no data avail &amp; out of range</v>
      </c>
      <c r="G35" t="str">
        <f t="shared" si="1"/>
        <v>1 &amp; 6.0 - 6.5 &amp; 32.5 - 33.0 &amp; no data avail &amp; out of range \\ \hline</v>
      </c>
    </row>
    <row r="36" spans="1:7" hidden="1" x14ac:dyDescent="0.35">
      <c r="A36">
        <v>2</v>
      </c>
      <c r="B36" t="s">
        <v>60</v>
      </c>
      <c r="C36" t="s">
        <v>47</v>
      </c>
      <c r="D36" t="s">
        <v>57</v>
      </c>
      <c r="E36" t="s">
        <v>44</v>
      </c>
      <c r="F36" t="str">
        <f t="shared" si="0"/>
        <v>2 &amp; 6.0 - 6.5 &amp; 33.0 - 33.5 &amp; 27.5 - 28.0 &amp; no data avail</v>
      </c>
      <c r="G36" t="str">
        <f t="shared" si="1"/>
        <v>2 &amp; 6.0 - 6.5 &amp; 33.0 - 33.5 &amp; 27.5 - 28.0 &amp; no data avail \\ \hline</v>
      </c>
    </row>
    <row r="37" spans="1:7" x14ac:dyDescent="0.35">
      <c r="A37">
        <v>1</v>
      </c>
      <c r="B37" t="s">
        <v>60</v>
      </c>
      <c r="C37" t="s">
        <v>47</v>
      </c>
      <c r="D37" t="s">
        <v>48</v>
      </c>
      <c r="E37" t="s">
        <v>52</v>
      </c>
      <c r="F37" t="str">
        <f t="shared" si="0"/>
        <v>1 &amp; 6.0 - 6.5 &amp; 33.0 - 33.5 &amp; 28.5 - 29.0 &amp; 10.0 - 15.0</v>
      </c>
      <c r="G37" t="str">
        <f t="shared" si="1"/>
        <v>1 &amp; 6.0 - 6.5 &amp; 33.0 - 33.5 &amp; 28.5 - 29.0 &amp; 10.0 - 15.0 \\ \hline</v>
      </c>
    </row>
    <row r="38" spans="1:7" hidden="1" x14ac:dyDescent="0.35">
      <c r="A38">
        <v>12</v>
      </c>
      <c r="B38" t="s">
        <v>60</v>
      </c>
      <c r="C38" t="s">
        <v>47</v>
      </c>
      <c r="D38" t="s">
        <v>48</v>
      </c>
      <c r="E38" t="s">
        <v>45</v>
      </c>
      <c r="F38" t="str">
        <f t="shared" si="0"/>
        <v>12 &amp; 6.0 - 6.5 &amp; 33.0 - 33.5 &amp; 28.5 - 29.0 &amp; out of range</v>
      </c>
      <c r="G38" t="str">
        <f t="shared" si="1"/>
        <v>12 &amp; 6.0 - 6.5 &amp; 33.0 - 33.5 &amp; 28.5 - 29.0 &amp; out of range \\ \hline</v>
      </c>
    </row>
    <row r="39" spans="1:7" x14ac:dyDescent="0.35">
      <c r="A39">
        <v>164</v>
      </c>
      <c r="B39" t="s">
        <v>61</v>
      </c>
      <c r="C39" t="s">
        <v>43</v>
      </c>
      <c r="D39" t="s">
        <v>48</v>
      </c>
      <c r="E39" t="s">
        <v>52</v>
      </c>
      <c r="F39" t="str">
        <f t="shared" si="0"/>
        <v>164 &amp; 6.5 - 7.0 &amp; 32.5 - 33.0 &amp; 28.5 - 29.0 &amp; 10.0 - 15.0</v>
      </c>
      <c r="G39" t="str">
        <f t="shared" si="1"/>
        <v>164 &amp; 6.5 - 7.0 &amp; 32.5 - 33.0 &amp; 28.5 - 29.0 &amp; 10.0 - 15.0 \\ \hline</v>
      </c>
    </row>
    <row r="40" spans="1:7" x14ac:dyDescent="0.35">
      <c r="A40">
        <v>4</v>
      </c>
      <c r="B40" t="s">
        <v>61</v>
      </c>
      <c r="C40" t="s">
        <v>43</v>
      </c>
      <c r="D40" t="s">
        <v>48</v>
      </c>
      <c r="E40" t="s">
        <v>49</v>
      </c>
      <c r="F40" t="str">
        <f t="shared" si="0"/>
        <v>4 &amp; 6.5 - 7.0 &amp; 32.5 - 33.0 &amp; 28.5 - 29.0 &amp; 15.0 - 20.0</v>
      </c>
      <c r="G40" t="str">
        <f t="shared" si="1"/>
        <v>4 &amp; 6.5 - 7.0 &amp; 32.5 - 33.0 &amp; 28.5 - 29.0 &amp; 15.0 - 20.0 \\ \hline</v>
      </c>
    </row>
    <row r="41" spans="1:7" x14ac:dyDescent="0.35">
      <c r="A41">
        <v>464</v>
      </c>
      <c r="B41" t="s">
        <v>61</v>
      </c>
      <c r="C41" t="s">
        <v>43</v>
      </c>
      <c r="D41" t="s">
        <v>48</v>
      </c>
      <c r="E41" t="s">
        <v>53</v>
      </c>
      <c r="F41" t="str">
        <f t="shared" si="0"/>
        <v>464 &amp; 6.5 - 7.0 &amp; 32.5 - 33.0 &amp; 28.5 - 29.0 &amp; 5.0 - 10.0</v>
      </c>
      <c r="G41" t="str">
        <f t="shared" si="1"/>
        <v>464 &amp; 6.5 - 7.0 &amp; 32.5 - 33.0 &amp; 28.5 - 29.0 &amp; 5.0 - 10.0 \\ \hline</v>
      </c>
    </row>
    <row r="42" spans="1:7" hidden="1" x14ac:dyDescent="0.35">
      <c r="A42">
        <v>6</v>
      </c>
      <c r="B42" t="s">
        <v>61</v>
      </c>
      <c r="C42" t="s">
        <v>43</v>
      </c>
      <c r="D42" t="s">
        <v>48</v>
      </c>
      <c r="E42" t="s">
        <v>45</v>
      </c>
      <c r="F42" t="str">
        <f t="shared" si="0"/>
        <v>6 &amp; 6.5 - 7.0 &amp; 32.5 - 33.0 &amp; 28.5 - 29.0 &amp; out of range</v>
      </c>
      <c r="G42" t="str">
        <f t="shared" si="1"/>
        <v>6 &amp; 6.5 - 7.0 &amp; 32.5 - 33.0 &amp; 28.5 - 29.0 &amp; out of range \\ \hline</v>
      </c>
    </row>
    <row r="43" spans="1:7" x14ac:dyDescent="0.35">
      <c r="A43">
        <v>2222</v>
      </c>
      <c r="B43" t="s">
        <v>61</v>
      </c>
      <c r="C43" t="s">
        <v>43</v>
      </c>
      <c r="D43" t="s">
        <v>54</v>
      </c>
      <c r="E43" t="s">
        <v>55</v>
      </c>
      <c r="F43" t="str">
        <f t="shared" si="0"/>
        <v>2222 &amp; 6.5 - 7.0 &amp; 32.5 - 33.0 &amp; 29.0 - 29.5 &amp; 0.0 - 5.0</v>
      </c>
      <c r="G43" t="str">
        <f t="shared" si="1"/>
        <v>2222 &amp; 6.5 - 7.0 &amp; 32.5 - 33.0 &amp; 29.0 - 29.5 &amp; 0.0 - 5.0 \\ \hline</v>
      </c>
    </row>
    <row r="44" spans="1:7" x14ac:dyDescent="0.35">
      <c r="A44">
        <v>242</v>
      </c>
      <c r="B44" t="s">
        <v>61</v>
      </c>
      <c r="C44" t="s">
        <v>43</v>
      </c>
      <c r="D44" t="s">
        <v>54</v>
      </c>
      <c r="E44" t="s">
        <v>52</v>
      </c>
      <c r="F44" t="str">
        <f t="shared" si="0"/>
        <v>242 &amp; 6.5 - 7.0 &amp; 32.5 - 33.0 &amp; 29.0 - 29.5 &amp; 10.0 - 15.0</v>
      </c>
      <c r="G44" t="str">
        <f t="shared" si="1"/>
        <v>242 &amp; 6.5 - 7.0 &amp; 32.5 - 33.0 &amp; 29.0 - 29.5 &amp; 10.0 - 15.0 \\ \hline</v>
      </c>
    </row>
    <row r="45" spans="1:7" x14ac:dyDescent="0.35">
      <c r="A45">
        <v>10132</v>
      </c>
      <c r="B45" t="s">
        <v>61</v>
      </c>
      <c r="C45" t="s">
        <v>43</v>
      </c>
      <c r="D45" t="s">
        <v>54</v>
      </c>
      <c r="E45" t="s">
        <v>53</v>
      </c>
      <c r="F45" t="str">
        <f t="shared" si="0"/>
        <v>10132 &amp; 6.5 - 7.0 &amp; 32.5 - 33.0 &amp; 29.0 - 29.5 &amp; 5.0 - 10.0</v>
      </c>
      <c r="G45" t="str">
        <f t="shared" si="1"/>
        <v>10132 &amp; 6.5 - 7.0 &amp; 32.5 - 33.0 &amp; 29.0 - 29.5 &amp; 5.0 - 10.0 \\ \hline</v>
      </c>
    </row>
    <row r="46" spans="1:7" hidden="1" x14ac:dyDescent="0.35">
      <c r="A46">
        <v>2</v>
      </c>
      <c r="B46" t="s">
        <v>61</v>
      </c>
      <c r="C46" t="s">
        <v>43</v>
      </c>
      <c r="D46" t="s">
        <v>44</v>
      </c>
      <c r="E46" t="s">
        <v>45</v>
      </c>
      <c r="F46" t="str">
        <f t="shared" si="0"/>
        <v>2 &amp; 6.5 - 7.0 &amp; 32.5 - 33.0 &amp; no data avail &amp; out of range</v>
      </c>
      <c r="G46" t="str">
        <f t="shared" si="1"/>
        <v>2 &amp; 6.5 - 7.0 &amp; 32.5 - 33.0 &amp; no data avail &amp; out of range \\ \hline</v>
      </c>
    </row>
    <row r="47" spans="1:7" hidden="1" x14ac:dyDescent="0.35">
      <c r="A47">
        <v>2</v>
      </c>
      <c r="B47" t="s">
        <v>61</v>
      </c>
      <c r="C47" t="s">
        <v>47</v>
      </c>
      <c r="D47" t="s">
        <v>57</v>
      </c>
      <c r="E47" t="s">
        <v>44</v>
      </c>
      <c r="F47" t="str">
        <f t="shared" si="0"/>
        <v>2 &amp; 6.5 - 7.0 &amp; 33.0 - 33.5 &amp; 27.5 - 28.0 &amp; no data avail</v>
      </c>
      <c r="G47" t="str">
        <f t="shared" si="1"/>
        <v>2 &amp; 6.5 - 7.0 &amp; 33.0 - 33.5 &amp; 27.5 - 28.0 &amp; no data avail \\ \hline</v>
      </c>
    </row>
    <row r="48" spans="1:7" x14ac:dyDescent="0.35">
      <c r="A48">
        <v>4</v>
      </c>
      <c r="B48" t="s">
        <v>61</v>
      </c>
      <c r="C48" t="s">
        <v>47</v>
      </c>
      <c r="D48" t="s">
        <v>48</v>
      </c>
      <c r="E48" t="s">
        <v>52</v>
      </c>
      <c r="F48" t="str">
        <f t="shared" si="0"/>
        <v>4 &amp; 6.5 - 7.0 &amp; 33.0 - 33.5 &amp; 28.5 - 29.0 &amp; 10.0 - 15.0</v>
      </c>
      <c r="G48" t="str">
        <f t="shared" si="1"/>
        <v>4 &amp; 6.5 - 7.0 &amp; 33.0 - 33.5 &amp; 28.5 - 29.0 &amp; 10.0 - 15.0 \\ \hline</v>
      </c>
    </row>
    <row r="49" spans="1:7" x14ac:dyDescent="0.35">
      <c r="A49">
        <v>4</v>
      </c>
      <c r="B49" t="s">
        <v>61</v>
      </c>
      <c r="C49" t="s">
        <v>47</v>
      </c>
      <c r="D49" t="s">
        <v>48</v>
      </c>
      <c r="E49" t="s">
        <v>49</v>
      </c>
      <c r="F49" t="str">
        <f t="shared" si="0"/>
        <v>4 &amp; 6.5 - 7.0 &amp; 33.0 - 33.5 &amp; 28.5 - 29.0 &amp; 15.0 - 20.0</v>
      </c>
      <c r="G49" t="str">
        <f t="shared" si="1"/>
        <v>4 &amp; 6.5 - 7.0 &amp; 33.0 - 33.5 &amp; 28.5 - 29.0 &amp; 15.0 - 20.0 \\ \hline</v>
      </c>
    </row>
    <row r="50" spans="1:7" hidden="1" x14ac:dyDescent="0.35">
      <c r="A50">
        <v>36</v>
      </c>
      <c r="B50" t="s">
        <v>61</v>
      </c>
      <c r="C50" t="s">
        <v>47</v>
      </c>
      <c r="D50" t="s">
        <v>48</v>
      </c>
      <c r="E50" t="s">
        <v>45</v>
      </c>
      <c r="F50" t="str">
        <f t="shared" si="0"/>
        <v>36 &amp; 6.5 - 7.0 &amp; 33.0 - 33.5 &amp; 28.5 - 29.0 &amp; out of range</v>
      </c>
      <c r="G50" t="str">
        <f t="shared" si="1"/>
        <v>36 &amp; 6.5 - 7.0 &amp; 33.0 - 33.5 &amp; 28.5 - 29.0 &amp; out of range \\ \hline</v>
      </c>
    </row>
    <row r="51" spans="1:7" hidden="1" x14ac:dyDescent="0.35">
      <c r="A51">
        <v>5</v>
      </c>
      <c r="B51" t="s">
        <v>61</v>
      </c>
      <c r="C51" t="s">
        <v>47</v>
      </c>
      <c r="D51" t="s">
        <v>54</v>
      </c>
      <c r="E51" t="s">
        <v>45</v>
      </c>
      <c r="F51" t="str">
        <f t="shared" si="0"/>
        <v>5 &amp; 6.5 - 7.0 &amp; 33.0 - 33.5 &amp; 29.0 - 29.5 &amp; out of range</v>
      </c>
      <c r="G51" t="str">
        <f t="shared" si="1"/>
        <v>5 &amp; 6.5 - 7.0 &amp; 33.0 - 33.5 &amp; 29.0 - 29.5 &amp; out of range \\ \hline</v>
      </c>
    </row>
    <row r="52" spans="1:7" hidden="1" x14ac:dyDescent="0.35">
      <c r="A52">
        <v>1</v>
      </c>
      <c r="B52" t="s">
        <v>61</v>
      </c>
      <c r="C52" t="s">
        <v>47</v>
      </c>
      <c r="D52" t="s">
        <v>44</v>
      </c>
      <c r="E52" t="s">
        <v>45</v>
      </c>
      <c r="F52" t="str">
        <f t="shared" si="0"/>
        <v>1 &amp; 6.5 - 7.0 &amp; 33.0 - 33.5 &amp; no data avail &amp; out of range</v>
      </c>
      <c r="G52" t="str">
        <f t="shared" si="1"/>
        <v>1 &amp; 6.5 - 7.0 &amp; 33.0 - 33.5 &amp; no data avail &amp; out of range \\ \hline</v>
      </c>
    </row>
    <row r="53" spans="1:7" x14ac:dyDescent="0.35">
      <c r="A53">
        <v>393</v>
      </c>
      <c r="B53" t="s">
        <v>62</v>
      </c>
      <c r="C53" t="s">
        <v>43</v>
      </c>
      <c r="D53" t="s">
        <v>48</v>
      </c>
      <c r="E53" t="s">
        <v>52</v>
      </c>
      <c r="F53" t="str">
        <f t="shared" si="0"/>
        <v>393 &amp; 7.0 - 7.5 &amp; 32.5 - 33.0 &amp; 28.5 - 29.0 &amp; 10.0 - 15.0</v>
      </c>
      <c r="G53" t="str">
        <f t="shared" si="1"/>
        <v>393 &amp; 7.0 - 7.5 &amp; 32.5 - 33.0 &amp; 28.5 - 29.0 &amp; 10.0 - 15.0 \\ \hline</v>
      </c>
    </row>
    <row r="54" spans="1:7" x14ac:dyDescent="0.35">
      <c r="A54">
        <v>2</v>
      </c>
      <c r="B54" t="s">
        <v>62</v>
      </c>
      <c r="C54" t="s">
        <v>43</v>
      </c>
      <c r="D54" t="s">
        <v>48</v>
      </c>
      <c r="E54" t="s">
        <v>49</v>
      </c>
      <c r="F54" t="str">
        <f t="shared" si="0"/>
        <v>2 &amp; 7.0 - 7.5 &amp; 32.5 - 33.0 &amp; 28.5 - 29.0 &amp; 15.0 - 20.0</v>
      </c>
      <c r="G54" t="str">
        <f t="shared" si="1"/>
        <v>2 &amp; 7.0 - 7.5 &amp; 32.5 - 33.0 &amp; 28.5 - 29.0 &amp; 15.0 - 20.0 \\ \hline</v>
      </c>
    </row>
    <row r="55" spans="1:7" x14ac:dyDescent="0.35">
      <c r="A55">
        <v>888</v>
      </c>
      <c r="B55" t="s">
        <v>62</v>
      </c>
      <c r="C55" t="s">
        <v>43</v>
      </c>
      <c r="D55" t="s">
        <v>48</v>
      </c>
      <c r="E55" t="s">
        <v>53</v>
      </c>
      <c r="F55" t="str">
        <f t="shared" si="0"/>
        <v>888 &amp; 7.0 - 7.5 &amp; 32.5 - 33.0 &amp; 28.5 - 29.0 &amp; 5.0 - 10.0</v>
      </c>
      <c r="G55" t="str">
        <f t="shared" si="1"/>
        <v>888 &amp; 7.0 - 7.5 &amp; 32.5 - 33.0 &amp; 28.5 - 29.0 &amp; 5.0 - 10.0 \\ \hline</v>
      </c>
    </row>
    <row r="56" spans="1:7" hidden="1" x14ac:dyDescent="0.35">
      <c r="A56">
        <v>5</v>
      </c>
      <c r="B56" t="s">
        <v>62</v>
      </c>
      <c r="C56" t="s">
        <v>43</v>
      </c>
      <c r="D56" t="s">
        <v>48</v>
      </c>
      <c r="E56" t="s">
        <v>45</v>
      </c>
      <c r="F56" t="str">
        <f t="shared" si="0"/>
        <v>5 &amp; 7.0 - 7.5 &amp; 32.5 - 33.0 &amp; 28.5 - 29.0 &amp; out of range</v>
      </c>
      <c r="G56" t="str">
        <f t="shared" si="1"/>
        <v>5 &amp; 7.0 - 7.5 &amp; 32.5 - 33.0 &amp; 28.5 - 29.0 &amp; out of range \\ \hline</v>
      </c>
    </row>
    <row r="57" spans="1:7" x14ac:dyDescent="0.35">
      <c r="A57">
        <v>4145</v>
      </c>
      <c r="B57" t="s">
        <v>62</v>
      </c>
      <c r="C57" t="s">
        <v>43</v>
      </c>
      <c r="D57" t="s">
        <v>54</v>
      </c>
      <c r="E57" t="s">
        <v>55</v>
      </c>
      <c r="F57" t="str">
        <f t="shared" si="0"/>
        <v>4145 &amp; 7.0 - 7.5 &amp; 32.5 - 33.0 &amp; 29.0 - 29.5 &amp; 0.0 - 5.0</v>
      </c>
      <c r="G57" t="str">
        <f t="shared" si="1"/>
        <v>4145 &amp; 7.0 - 7.5 &amp; 32.5 - 33.0 &amp; 29.0 - 29.5 &amp; 0.0 - 5.0 \\ \hline</v>
      </c>
    </row>
    <row r="58" spans="1:7" x14ac:dyDescent="0.35">
      <c r="A58">
        <v>278</v>
      </c>
      <c r="B58" t="s">
        <v>62</v>
      </c>
      <c r="C58" t="s">
        <v>43</v>
      </c>
      <c r="D58" t="s">
        <v>54</v>
      </c>
      <c r="E58" t="s">
        <v>52</v>
      </c>
      <c r="F58" t="str">
        <f t="shared" si="0"/>
        <v>278 &amp; 7.0 - 7.5 &amp; 32.5 - 33.0 &amp; 29.0 - 29.5 &amp; 10.0 - 15.0</v>
      </c>
      <c r="G58" t="str">
        <f t="shared" si="1"/>
        <v>278 &amp; 7.0 - 7.5 &amp; 32.5 - 33.0 &amp; 29.0 - 29.5 &amp; 10.0 - 15.0 \\ \hline</v>
      </c>
    </row>
    <row r="59" spans="1:7" x14ac:dyDescent="0.35">
      <c r="A59">
        <v>16272</v>
      </c>
      <c r="B59" t="s">
        <v>62</v>
      </c>
      <c r="C59" t="s">
        <v>43</v>
      </c>
      <c r="D59" t="s">
        <v>54</v>
      </c>
      <c r="E59" t="s">
        <v>53</v>
      </c>
      <c r="F59" t="str">
        <f t="shared" si="0"/>
        <v>16272 &amp; 7.0 - 7.5 &amp; 32.5 - 33.0 &amp; 29.0 - 29.5 &amp; 5.0 - 10.0</v>
      </c>
      <c r="G59" t="str">
        <f t="shared" si="1"/>
        <v>16272 &amp; 7.0 - 7.5 &amp; 32.5 - 33.0 &amp; 29.0 - 29.5 &amp; 5.0 - 10.0 \\ \hline</v>
      </c>
    </row>
    <row r="60" spans="1:7" hidden="1" x14ac:dyDescent="0.35">
      <c r="A60">
        <v>5</v>
      </c>
      <c r="B60" t="s">
        <v>62</v>
      </c>
      <c r="C60" t="s">
        <v>47</v>
      </c>
      <c r="D60" t="s">
        <v>57</v>
      </c>
      <c r="E60" t="s">
        <v>44</v>
      </c>
      <c r="F60" t="str">
        <f t="shared" si="0"/>
        <v>5 &amp; 7.0 - 7.5 &amp; 33.0 - 33.5 &amp; 27.5 - 28.0 &amp; no data avail</v>
      </c>
      <c r="G60" t="str">
        <f t="shared" si="1"/>
        <v>5 &amp; 7.0 - 7.5 &amp; 33.0 - 33.5 &amp; 27.5 - 28.0 &amp; no data avail \\ \hline</v>
      </c>
    </row>
    <row r="61" spans="1:7" x14ac:dyDescent="0.35">
      <c r="A61">
        <v>13</v>
      </c>
      <c r="B61" t="s">
        <v>62</v>
      </c>
      <c r="C61" t="s">
        <v>47</v>
      </c>
      <c r="D61" t="s">
        <v>48</v>
      </c>
      <c r="E61" t="s">
        <v>52</v>
      </c>
      <c r="F61" t="str">
        <f t="shared" si="0"/>
        <v>13 &amp; 7.0 - 7.5 &amp; 33.0 - 33.5 &amp; 28.5 - 29.0 &amp; 10.0 - 15.0</v>
      </c>
      <c r="G61" t="str">
        <f t="shared" si="1"/>
        <v>13 &amp; 7.0 - 7.5 &amp; 33.0 - 33.5 &amp; 28.5 - 29.0 &amp; 10.0 - 15.0 \\ \hline</v>
      </c>
    </row>
    <row r="62" spans="1:7" x14ac:dyDescent="0.35">
      <c r="A62">
        <v>24</v>
      </c>
      <c r="B62" t="s">
        <v>62</v>
      </c>
      <c r="C62" t="s">
        <v>47</v>
      </c>
      <c r="D62" t="s">
        <v>48</v>
      </c>
      <c r="E62" t="s">
        <v>49</v>
      </c>
      <c r="F62" t="str">
        <f t="shared" si="0"/>
        <v>24 &amp; 7.0 - 7.5 &amp; 33.0 - 33.5 &amp; 28.5 - 29.0 &amp; 15.0 - 20.0</v>
      </c>
      <c r="G62" t="str">
        <f t="shared" si="1"/>
        <v>24 &amp; 7.0 - 7.5 &amp; 33.0 - 33.5 &amp; 28.5 - 29.0 &amp; 15.0 - 20.0 \\ \hline</v>
      </c>
    </row>
    <row r="63" spans="1:7" x14ac:dyDescent="0.35">
      <c r="A63">
        <v>1</v>
      </c>
      <c r="B63" t="s">
        <v>62</v>
      </c>
      <c r="C63" t="s">
        <v>47</v>
      </c>
      <c r="D63" t="s">
        <v>48</v>
      </c>
      <c r="E63" t="s">
        <v>53</v>
      </c>
      <c r="F63" t="str">
        <f t="shared" si="0"/>
        <v>1 &amp; 7.0 - 7.5 &amp; 33.0 - 33.5 &amp; 28.5 - 29.0 &amp; 5.0 - 10.0</v>
      </c>
      <c r="G63" t="str">
        <f t="shared" si="1"/>
        <v>1 &amp; 7.0 - 7.5 &amp; 33.0 - 33.5 &amp; 28.5 - 29.0 &amp; 5.0 - 10.0 \\ \hline</v>
      </c>
    </row>
    <row r="64" spans="1:7" hidden="1" x14ac:dyDescent="0.35">
      <c r="A64">
        <v>43</v>
      </c>
      <c r="B64" t="s">
        <v>62</v>
      </c>
      <c r="C64" t="s">
        <v>47</v>
      </c>
      <c r="D64" t="s">
        <v>48</v>
      </c>
      <c r="E64" t="s">
        <v>45</v>
      </c>
      <c r="F64" t="str">
        <f t="shared" si="0"/>
        <v>43 &amp; 7.0 - 7.5 &amp; 33.0 - 33.5 &amp; 28.5 - 29.0 &amp; out of range</v>
      </c>
      <c r="G64" t="str">
        <f t="shared" si="1"/>
        <v>43 &amp; 7.0 - 7.5 &amp; 33.0 - 33.5 &amp; 28.5 - 29.0 &amp; out of range \\ \hline</v>
      </c>
    </row>
    <row r="65" spans="1:7" x14ac:dyDescent="0.35">
      <c r="A65">
        <v>8</v>
      </c>
      <c r="B65" t="s">
        <v>62</v>
      </c>
      <c r="C65" t="s">
        <v>47</v>
      </c>
      <c r="D65" t="s">
        <v>54</v>
      </c>
      <c r="E65" t="s">
        <v>52</v>
      </c>
      <c r="F65" t="str">
        <f t="shared" si="0"/>
        <v>8 &amp; 7.0 - 7.5 &amp; 33.0 - 33.5 &amp; 29.0 - 29.5 &amp; 10.0 - 15.0</v>
      </c>
      <c r="G65" t="str">
        <f t="shared" si="1"/>
        <v>8 &amp; 7.0 - 7.5 &amp; 33.0 - 33.5 &amp; 29.0 - 29.5 &amp; 10.0 - 15.0 \\ \hline</v>
      </c>
    </row>
    <row r="66" spans="1:7" hidden="1" x14ac:dyDescent="0.35">
      <c r="A66">
        <v>6</v>
      </c>
      <c r="B66" t="s">
        <v>62</v>
      </c>
      <c r="C66" t="s">
        <v>47</v>
      </c>
      <c r="D66" t="s">
        <v>54</v>
      </c>
      <c r="E66" t="s">
        <v>45</v>
      </c>
      <c r="F66" t="str">
        <f t="shared" ref="F66:F113" si="2">_xlfn.TEXTJOIN(" &amp; ",TRUE,A66:E66)</f>
        <v>6 &amp; 7.0 - 7.5 &amp; 33.0 - 33.5 &amp; 29.0 - 29.5 &amp; out of range</v>
      </c>
      <c r="G66" t="str">
        <f t="shared" ref="G66:G113" si="3">_xlfn.CONCAT(F66," \\ \hline")</f>
        <v>6 &amp; 7.0 - 7.5 &amp; 33.0 - 33.5 &amp; 29.0 - 29.5 &amp; out of range \\ \hline</v>
      </c>
    </row>
    <row r="67" spans="1:7" hidden="1" x14ac:dyDescent="0.35">
      <c r="A67">
        <v>1</v>
      </c>
      <c r="B67" t="s">
        <v>62</v>
      </c>
      <c r="C67" t="s">
        <v>47</v>
      </c>
      <c r="D67" t="s">
        <v>44</v>
      </c>
      <c r="E67" t="s">
        <v>45</v>
      </c>
      <c r="F67" t="str">
        <f t="shared" si="2"/>
        <v>1 &amp; 7.0 - 7.5 &amp; 33.0 - 33.5 &amp; no data avail &amp; out of range</v>
      </c>
      <c r="G67" t="str">
        <f t="shared" si="3"/>
        <v>1 &amp; 7.0 - 7.5 &amp; 33.0 - 33.5 &amp; no data avail &amp; out of range \\ \hline</v>
      </c>
    </row>
    <row r="68" spans="1:7" hidden="1" x14ac:dyDescent="0.35">
      <c r="A68">
        <v>4</v>
      </c>
      <c r="B68" t="s">
        <v>62</v>
      </c>
      <c r="C68" t="s">
        <v>44</v>
      </c>
      <c r="D68" t="s">
        <v>44</v>
      </c>
      <c r="E68" t="s">
        <v>45</v>
      </c>
      <c r="F68" t="str">
        <f t="shared" si="2"/>
        <v>4 &amp; 7.0 - 7.5 &amp; no data avail &amp; no data avail &amp; out of range</v>
      </c>
      <c r="G68" t="str">
        <f t="shared" si="3"/>
        <v>4 &amp; 7.0 - 7.5 &amp; no data avail &amp; no data avail &amp; out of range \\ \hline</v>
      </c>
    </row>
    <row r="69" spans="1:7" x14ac:dyDescent="0.35">
      <c r="A69">
        <v>473</v>
      </c>
      <c r="B69" t="s">
        <v>63</v>
      </c>
      <c r="C69" t="s">
        <v>43</v>
      </c>
      <c r="D69" t="s">
        <v>48</v>
      </c>
      <c r="E69" t="s">
        <v>52</v>
      </c>
      <c r="F69" t="str">
        <f t="shared" si="2"/>
        <v>473 &amp; 7.5 - 8.0 &amp; 32.5 - 33.0 &amp; 28.5 - 29.0 &amp; 10.0 - 15.0</v>
      </c>
      <c r="G69" t="str">
        <f t="shared" si="3"/>
        <v>473 &amp; 7.5 - 8.0 &amp; 32.5 - 33.0 &amp; 28.5 - 29.0 &amp; 10.0 - 15.0 \\ \hline</v>
      </c>
    </row>
    <row r="70" spans="1:7" x14ac:dyDescent="0.35">
      <c r="A70">
        <v>1</v>
      </c>
      <c r="B70" t="s">
        <v>63</v>
      </c>
      <c r="C70" t="s">
        <v>43</v>
      </c>
      <c r="D70" t="s">
        <v>48</v>
      </c>
      <c r="E70" t="s">
        <v>49</v>
      </c>
      <c r="F70" t="str">
        <f t="shared" si="2"/>
        <v>1 &amp; 7.5 - 8.0 &amp; 32.5 - 33.0 &amp; 28.5 - 29.0 &amp; 15.0 - 20.0</v>
      </c>
      <c r="G70" t="str">
        <f t="shared" si="3"/>
        <v>1 &amp; 7.5 - 8.0 &amp; 32.5 - 33.0 &amp; 28.5 - 29.0 &amp; 15.0 - 20.0 \\ \hline</v>
      </c>
    </row>
    <row r="71" spans="1:7" x14ac:dyDescent="0.35">
      <c r="A71">
        <v>672</v>
      </c>
      <c r="B71" t="s">
        <v>63</v>
      </c>
      <c r="C71" t="s">
        <v>43</v>
      </c>
      <c r="D71" t="s">
        <v>48</v>
      </c>
      <c r="E71" t="s">
        <v>53</v>
      </c>
      <c r="F71" t="str">
        <f t="shared" si="2"/>
        <v>672 &amp; 7.5 - 8.0 &amp; 32.5 - 33.0 &amp; 28.5 - 29.0 &amp; 5.0 - 10.0</v>
      </c>
      <c r="G71" t="str">
        <f t="shared" si="3"/>
        <v>672 &amp; 7.5 - 8.0 &amp; 32.5 - 33.0 &amp; 28.5 - 29.0 &amp; 5.0 - 10.0 \\ \hline</v>
      </c>
    </row>
    <row r="72" spans="1:7" hidden="1" x14ac:dyDescent="0.35">
      <c r="A72">
        <v>4</v>
      </c>
      <c r="B72" t="s">
        <v>63</v>
      </c>
      <c r="C72" t="s">
        <v>43</v>
      </c>
      <c r="D72" t="s">
        <v>48</v>
      </c>
      <c r="E72" t="s">
        <v>45</v>
      </c>
      <c r="F72" t="str">
        <f t="shared" si="2"/>
        <v>4 &amp; 7.5 - 8.0 &amp; 32.5 - 33.0 &amp; 28.5 - 29.0 &amp; out of range</v>
      </c>
      <c r="G72" t="str">
        <f t="shared" si="3"/>
        <v>4 &amp; 7.5 - 8.0 &amp; 32.5 - 33.0 &amp; 28.5 - 29.0 &amp; out of range \\ \hline</v>
      </c>
    </row>
    <row r="73" spans="1:7" x14ac:dyDescent="0.35">
      <c r="A73">
        <v>5021</v>
      </c>
      <c r="B73" t="s">
        <v>63</v>
      </c>
      <c r="C73" t="s">
        <v>43</v>
      </c>
      <c r="D73" t="s">
        <v>54</v>
      </c>
      <c r="E73" t="s">
        <v>55</v>
      </c>
      <c r="F73" t="str">
        <f t="shared" si="2"/>
        <v>5021 &amp; 7.5 - 8.0 &amp; 32.5 - 33.0 &amp; 29.0 - 29.5 &amp; 0.0 - 5.0</v>
      </c>
      <c r="G73" t="str">
        <f t="shared" si="3"/>
        <v>5021 &amp; 7.5 - 8.0 &amp; 32.5 - 33.0 &amp; 29.0 - 29.5 &amp; 0.0 - 5.0 \\ \hline</v>
      </c>
    </row>
    <row r="74" spans="1:7" x14ac:dyDescent="0.35">
      <c r="A74">
        <v>372</v>
      </c>
      <c r="B74" t="s">
        <v>63</v>
      </c>
      <c r="C74" t="s">
        <v>43</v>
      </c>
      <c r="D74" t="s">
        <v>54</v>
      </c>
      <c r="E74" t="s">
        <v>52</v>
      </c>
      <c r="F74" t="str">
        <f t="shared" si="2"/>
        <v>372 &amp; 7.5 - 8.0 &amp; 32.5 - 33.0 &amp; 29.0 - 29.5 &amp; 10.0 - 15.0</v>
      </c>
      <c r="G74" t="str">
        <f t="shared" si="3"/>
        <v>372 &amp; 7.5 - 8.0 &amp; 32.5 - 33.0 &amp; 29.0 - 29.5 &amp; 10.0 - 15.0 \\ \hline</v>
      </c>
    </row>
    <row r="75" spans="1:7" x14ac:dyDescent="0.35">
      <c r="A75">
        <v>15815</v>
      </c>
      <c r="B75" t="s">
        <v>63</v>
      </c>
      <c r="C75" t="s">
        <v>43</v>
      </c>
      <c r="D75" t="s">
        <v>54</v>
      </c>
      <c r="E75" t="s">
        <v>53</v>
      </c>
      <c r="F75" t="str">
        <f t="shared" si="2"/>
        <v>15815 &amp; 7.5 - 8.0 &amp; 32.5 - 33.0 &amp; 29.0 - 29.5 &amp; 5.0 - 10.0</v>
      </c>
      <c r="G75" t="str">
        <f t="shared" si="3"/>
        <v>15815 &amp; 7.5 - 8.0 &amp; 32.5 - 33.0 &amp; 29.0 - 29.5 &amp; 5.0 - 10.0 \\ \hline</v>
      </c>
    </row>
    <row r="76" spans="1:7" hidden="1" x14ac:dyDescent="0.35">
      <c r="A76">
        <v>1</v>
      </c>
      <c r="B76" t="s">
        <v>63</v>
      </c>
      <c r="C76" t="s">
        <v>47</v>
      </c>
      <c r="D76" t="s">
        <v>57</v>
      </c>
      <c r="E76" t="s">
        <v>44</v>
      </c>
      <c r="F76" t="str">
        <f t="shared" si="2"/>
        <v>1 &amp; 7.5 - 8.0 &amp; 33.0 - 33.5 &amp; 27.5 - 28.0 &amp; no data avail</v>
      </c>
      <c r="G76" t="str">
        <f t="shared" si="3"/>
        <v>1 &amp; 7.5 - 8.0 &amp; 33.0 - 33.5 &amp; 27.5 - 28.0 &amp; no data avail \\ \hline</v>
      </c>
    </row>
    <row r="77" spans="1:7" x14ac:dyDescent="0.35">
      <c r="A77">
        <v>73</v>
      </c>
      <c r="B77" t="s">
        <v>63</v>
      </c>
      <c r="C77" t="s">
        <v>47</v>
      </c>
      <c r="D77" t="s">
        <v>48</v>
      </c>
      <c r="E77" t="s">
        <v>52</v>
      </c>
      <c r="F77" t="str">
        <f t="shared" si="2"/>
        <v>73 &amp; 7.5 - 8.0 &amp; 33.0 - 33.5 &amp; 28.5 - 29.0 &amp; 10.0 - 15.0</v>
      </c>
      <c r="G77" t="str">
        <f t="shared" si="3"/>
        <v>73 &amp; 7.5 - 8.0 &amp; 33.0 - 33.5 &amp; 28.5 - 29.0 &amp; 10.0 - 15.0 \\ \hline</v>
      </c>
    </row>
    <row r="78" spans="1:7" x14ac:dyDescent="0.35">
      <c r="A78">
        <v>60</v>
      </c>
      <c r="B78" t="s">
        <v>63</v>
      </c>
      <c r="C78" t="s">
        <v>47</v>
      </c>
      <c r="D78" t="s">
        <v>48</v>
      </c>
      <c r="E78" t="s">
        <v>49</v>
      </c>
      <c r="F78" t="str">
        <f t="shared" si="2"/>
        <v>60 &amp; 7.5 - 8.0 &amp; 33.0 - 33.5 &amp; 28.5 - 29.0 &amp; 15.0 - 20.0</v>
      </c>
      <c r="G78" t="str">
        <f t="shared" si="3"/>
        <v>60 &amp; 7.5 - 8.0 &amp; 33.0 - 33.5 &amp; 28.5 - 29.0 &amp; 15.0 - 20.0 \\ \hline</v>
      </c>
    </row>
    <row r="79" spans="1:7" hidden="1" x14ac:dyDescent="0.35">
      <c r="A79">
        <v>49</v>
      </c>
      <c r="B79" t="s">
        <v>63</v>
      </c>
      <c r="C79" t="s">
        <v>47</v>
      </c>
      <c r="D79" t="s">
        <v>48</v>
      </c>
      <c r="E79" t="s">
        <v>45</v>
      </c>
      <c r="F79" t="str">
        <f t="shared" si="2"/>
        <v>49 &amp; 7.5 - 8.0 &amp; 33.0 - 33.5 &amp; 28.5 - 29.0 &amp; out of range</v>
      </c>
      <c r="G79" t="str">
        <f t="shared" si="3"/>
        <v>49 &amp; 7.5 - 8.0 &amp; 33.0 - 33.5 &amp; 28.5 - 29.0 &amp; out of range \\ \hline</v>
      </c>
    </row>
    <row r="80" spans="1:7" x14ac:dyDescent="0.35">
      <c r="A80">
        <v>23</v>
      </c>
      <c r="B80" t="s">
        <v>63</v>
      </c>
      <c r="C80" t="s">
        <v>47</v>
      </c>
      <c r="D80" t="s">
        <v>54</v>
      </c>
      <c r="E80" t="s">
        <v>52</v>
      </c>
      <c r="F80" t="str">
        <f t="shared" si="2"/>
        <v>23 &amp; 7.5 - 8.0 &amp; 33.0 - 33.5 &amp; 29.0 - 29.5 &amp; 10.0 - 15.0</v>
      </c>
      <c r="G80" t="str">
        <f t="shared" si="3"/>
        <v>23 &amp; 7.5 - 8.0 &amp; 33.0 - 33.5 &amp; 29.0 - 29.5 &amp; 10.0 - 15.0 \\ \hline</v>
      </c>
    </row>
    <row r="81" spans="1:7" hidden="1" x14ac:dyDescent="0.35">
      <c r="A81">
        <v>1</v>
      </c>
      <c r="B81" t="s">
        <v>63</v>
      </c>
      <c r="C81" t="s">
        <v>47</v>
      </c>
      <c r="D81" t="s">
        <v>54</v>
      </c>
      <c r="E81" t="s">
        <v>44</v>
      </c>
      <c r="F81" t="str">
        <f t="shared" si="2"/>
        <v>1 &amp; 7.5 - 8.0 &amp; 33.0 - 33.5 &amp; 29.0 - 29.5 &amp; no data avail</v>
      </c>
      <c r="G81" t="str">
        <f t="shared" si="3"/>
        <v>1 &amp; 7.5 - 8.0 &amp; 33.0 - 33.5 &amp; 29.0 - 29.5 &amp; no data avail \\ \hline</v>
      </c>
    </row>
    <row r="82" spans="1:7" hidden="1" x14ac:dyDescent="0.35">
      <c r="A82">
        <v>4</v>
      </c>
      <c r="B82" t="s">
        <v>63</v>
      </c>
      <c r="C82" t="s">
        <v>47</v>
      </c>
      <c r="D82" t="s">
        <v>54</v>
      </c>
      <c r="E82" t="s">
        <v>45</v>
      </c>
      <c r="F82" t="str">
        <f t="shared" si="2"/>
        <v>4 &amp; 7.5 - 8.0 &amp; 33.0 - 33.5 &amp; 29.0 - 29.5 &amp; out of range</v>
      </c>
      <c r="G82" t="str">
        <f t="shared" si="3"/>
        <v>4 &amp; 7.5 - 8.0 &amp; 33.0 - 33.5 &amp; 29.0 - 29.5 &amp; out of range \\ \hline</v>
      </c>
    </row>
    <row r="83" spans="1:7" hidden="1" x14ac:dyDescent="0.35">
      <c r="A83">
        <v>1</v>
      </c>
      <c r="B83" t="s">
        <v>63</v>
      </c>
      <c r="C83" t="s">
        <v>44</v>
      </c>
      <c r="D83" t="s">
        <v>44</v>
      </c>
      <c r="E83" t="s">
        <v>45</v>
      </c>
      <c r="F83" t="str">
        <f t="shared" si="2"/>
        <v>1 &amp; 7.5 - 8.0 &amp; no data avail &amp; no data avail &amp; out of range</v>
      </c>
      <c r="G83" t="str">
        <f t="shared" si="3"/>
        <v>1 &amp; 7.5 - 8.0 &amp; no data avail &amp; no data avail &amp; out of range \\ \hline</v>
      </c>
    </row>
    <row r="84" spans="1:7" hidden="1" x14ac:dyDescent="0.35">
      <c r="A84">
        <v>1</v>
      </c>
      <c r="B84" t="s">
        <v>44</v>
      </c>
      <c r="C84" t="s">
        <v>43</v>
      </c>
      <c r="D84" t="s">
        <v>54</v>
      </c>
      <c r="E84" t="s">
        <v>55</v>
      </c>
      <c r="F84" t="str">
        <f t="shared" si="2"/>
        <v>1 &amp; no data avail &amp; 32.5 - 33.0 &amp; 29.0 - 29.5 &amp; 0.0 - 5.0</v>
      </c>
      <c r="G84" t="str">
        <f t="shared" si="3"/>
        <v>1 &amp; no data avail &amp; 32.5 - 33.0 &amp; 29.0 - 29.5 &amp; 0.0 - 5.0 \\ \hline</v>
      </c>
    </row>
    <row r="85" spans="1:7" hidden="1" x14ac:dyDescent="0.35">
      <c r="A85">
        <v>3</v>
      </c>
      <c r="B85" t="s">
        <v>44</v>
      </c>
      <c r="C85" t="s">
        <v>47</v>
      </c>
      <c r="D85" t="s">
        <v>48</v>
      </c>
      <c r="E85" t="s">
        <v>53</v>
      </c>
      <c r="F85" t="str">
        <f t="shared" si="2"/>
        <v>3 &amp; no data avail &amp; 33.0 - 33.5 &amp; 28.5 - 29.0 &amp; 5.0 - 10.0</v>
      </c>
      <c r="G85" t="str">
        <f t="shared" si="3"/>
        <v>3 &amp; no data avail &amp; 33.0 - 33.5 &amp; 28.5 - 29.0 &amp; 5.0 - 10.0 \\ \hline</v>
      </c>
    </row>
    <row r="86" spans="1:7" hidden="1" x14ac:dyDescent="0.35">
      <c r="A86">
        <v>1</v>
      </c>
      <c r="B86" t="s">
        <v>44</v>
      </c>
      <c r="C86" t="s">
        <v>47</v>
      </c>
      <c r="D86" t="s">
        <v>48</v>
      </c>
      <c r="E86" t="s">
        <v>45</v>
      </c>
      <c r="F86" t="str">
        <f t="shared" si="2"/>
        <v>1 &amp; no data avail &amp; 33.0 - 33.5 &amp; 28.5 - 29.0 &amp; out of range</v>
      </c>
      <c r="G86" t="str">
        <f t="shared" si="3"/>
        <v>1 &amp; no data avail &amp; 33.0 - 33.5 &amp; 28.5 - 29.0 &amp; out of range \\ \hline</v>
      </c>
    </row>
    <row r="87" spans="1:7" hidden="1" x14ac:dyDescent="0.35">
      <c r="A87">
        <v>650</v>
      </c>
      <c r="B87" t="s">
        <v>44</v>
      </c>
      <c r="C87" t="s">
        <v>47</v>
      </c>
      <c r="D87" t="s">
        <v>54</v>
      </c>
      <c r="E87" t="s">
        <v>55</v>
      </c>
      <c r="F87" t="str">
        <f t="shared" si="2"/>
        <v>650 &amp; no data avail &amp; 33.0 - 33.5 &amp; 29.0 - 29.5 &amp; 0.0 - 5.0</v>
      </c>
      <c r="G87" t="str">
        <f t="shared" si="3"/>
        <v>650 &amp; no data avail &amp; 33.0 - 33.5 &amp; 29.0 - 29.5 &amp; 0.0 - 5.0 \\ \hline</v>
      </c>
    </row>
    <row r="88" spans="1:7" hidden="1" x14ac:dyDescent="0.35">
      <c r="A88">
        <v>1</v>
      </c>
      <c r="B88" t="s">
        <v>44</v>
      </c>
      <c r="C88" t="s">
        <v>47</v>
      </c>
      <c r="D88" t="s">
        <v>54</v>
      </c>
      <c r="E88" t="s">
        <v>44</v>
      </c>
      <c r="F88" t="str">
        <f t="shared" si="2"/>
        <v>1 &amp; no data avail &amp; 33.0 - 33.5 &amp; 29.0 - 29.5 &amp; no data avail</v>
      </c>
      <c r="G88" t="str">
        <f t="shared" si="3"/>
        <v>1 &amp; no data avail &amp; 33.0 - 33.5 &amp; 29.0 - 29.5 &amp; no data avail \\ \hline</v>
      </c>
    </row>
    <row r="89" spans="1:7" hidden="1" x14ac:dyDescent="0.35">
      <c r="A89">
        <v>426</v>
      </c>
      <c r="B89" t="s">
        <v>45</v>
      </c>
      <c r="C89" t="s">
        <v>43</v>
      </c>
      <c r="D89" t="s">
        <v>48</v>
      </c>
      <c r="E89" t="s">
        <v>55</v>
      </c>
      <c r="F89" t="str">
        <f t="shared" si="2"/>
        <v>426 &amp; out of range &amp; 32.5 - 33.0 &amp; 28.5 - 29.0 &amp; 0.0 - 5.0</v>
      </c>
      <c r="G89" t="str">
        <f t="shared" si="3"/>
        <v>426 &amp; out of range &amp; 32.5 - 33.0 &amp; 28.5 - 29.0 &amp; 0.0 - 5.0 \\ \hline</v>
      </c>
    </row>
    <row r="90" spans="1:7" hidden="1" x14ac:dyDescent="0.35">
      <c r="A90">
        <v>2361</v>
      </c>
      <c r="B90" t="s">
        <v>45</v>
      </c>
      <c r="C90" t="s">
        <v>43</v>
      </c>
      <c r="D90" t="s">
        <v>48</v>
      </c>
      <c r="E90" t="s">
        <v>52</v>
      </c>
      <c r="F90" t="str">
        <f t="shared" si="2"/>
        <v>2361 &amp; out of range &amp; 32.5 - 33.0 &amp; 28.5 - 29.0 &amp; 10.0 - 15.0</v>
      </c>
      <c r="G90" t="str">
        <f t="shared" si="3"/>
        <v>2361 &amp; out of range &amp; 32.5 - 33.0 &amp; 28.5 - 29.0 &amp; 10.0 - 15.0 \\ \hline</v>
      </c>
    </row>
    <row r="91" spans="1:7" hidden="1" x14ac:dyDescent="0.35">
      <c r="A91">
        <v>270</v>
      </c>
      <c r="B91" t="s">
        <v>45</v>
      </c>
      <c r="C91" t="s">
        <v>43</v>
      </c>
      <c r="D91" t="s">
        <v>48</v>
      </c>
      <c r="E91" t="s">
        <v>49</v>
      </c>
      <c r="F91" t="str">
        <f t="shared" si="2"/>
        <v>270 &amp; out of range &amp; 32.5 - 33.0 &amp; 28.5 - 29.0 &amp; 15.0 - 20.0</v>
      </c>
      <c r="G91" t="str">
        <f t="shared" si="3"/>
        <v>270 &amp; out of range &amp; 32.5 - 33.0 &amp; 28.5 - 29.0 &amp; 15.0 - 20.0 \\ \hline</v>
      </c>
    </row>
    <row r="92" spans="1:7" hidden="1" x14ac:dyDescent="0.35">
      <c r="A92">
        <v>10064</v>
      </c>
      <c r="B92" t="s">
        <v>45</v>
      </c>
      <c r="C92" t="s">
        <v>43</v>
      </c>
      <c r="D92" t="s">
        <v>48</v>
      </c>
      <c r="E92" t="s">
        <v>53</v>
      </c>
      <c r="F92" t="str">
        <f t="shared" si="2"/>
        <v>10064 &amp; out of range &amp; 32.5 - 33.0 &amp; 28.5 - 29.0 &amp; 5.0 - 10.0</v>
      </c>
      <c r="G92" t="str">
        <f t="shared" si="3"/>
        <v>10064 &amp; out of range &amp; 32.5 - 33.0 &amp; 28.5 - 29.0 &amp; 5.0 - 10.0 \\ \hline</v>
      </c>
    </row>
    <row r="93" spans="1:7" hidden="1" x14ac:dyDescent="0.35">
      <c r="A93">
        <v>35</v>
      </c>
      <c r="B93" t="s">
        <v>45</v>
      </c>
      <c r="C93" t="s">
        <v>43</v>
      </c>
      <c r="D93" t="s">
        <v>48</v>
      </c>
      <c r="E93" t="s">
        <v>45</v>
      </c>
      <c r="F93" t="str">
        <f t="shared" si="2"/>
        <v>35 &amp; out of range &amp; 32.5 - 33.0 &amp; 28.5 - 29.0 &amp; out of range</v>
      </c>
      <c r="G93" t="str">
        <f t="shared" si="3"/>
        <v>35 &amp; out of range &amp; 32.5 - 33.0 &amp; 28.5 - 29.0 &amp; out of range \\ \hline</v>
      </c>
    </row>
    <row r="94" spans="1:7" hidden="1" x14ac:dyDescent="0.35">
      <c r="A94">
        <v>1106425</v>
      </c>
      <c r="B94" t="s">
        <v>45</v>
      </c>
      <c r="C94" t="s">
        <v>43</v>
      </c>
      <c r="D94" t="s">
        <v>54</v>
      </c>
      <c r="E94" t="s">
        <v>55</v>
      </c>
      <c r="F94" t="str">
        <f t="shared" si="2"/>
        <v>1106425 &amp; out of range &amp; 32.5 - 33.0 &amp; 29.0 - 29.5 &amp; 0.0 - 5.0</v>
      </c>
      <c r="G94" t="str">
        <f t="shared" si="3"/>
        <v>1106425 &amp; out of range &amp; 32.5 - 33.0 &amp; 29.0 - 29.5 &amp; 0.0 - 5.0 \\ \hline</v>
      </c>
    </row>
    <row r="95" spans="1:7" hidden="1" x14ac:dyDescent="0.35">
      <c r="A95">
        <v>2261</v>
      </c>
      <c r="B95" t="s">
        <v>45</v>
      </c>
      <c r="C95" t="s">
        <v>43</v>
      </c>
      <c r="D95" t="s">
        <v>54</v>
      </c>
      <c r="E95" t="s">
        <v>52</v>
      </c>
      <c r="F95" t="str">
        <f t="shared" si="2"/>
        <v>2261 &amp; out of range &amp; 32.5 - 33.0 &amp; 29.0 - 29.5 &amp; 10.0 - 15.0</v>
      </c>
      <c r="G95" t="str">
        <f t="shared" si="3"/>
        <v>2261 &amp; out of range &amp; 32.5 - 33.0 &amp; 29.0 - 29.5 &amp; 10.0 - 15.0 \\ \hline</v>
      </c>
    </row>
    <row r="96" spans="1:7" hidden="1" x14ac:dyDescent="0.35">
      <c r="A96">
        <v>149177</v>
      </c>
      <c r="B96" t="s">
        <v>45</v>
      </c>
      <c r="C96" t="s">
        <v>43</v>
      </c>
      <c r="D96" t="s">
        <v>54</v>
      </c>
      <c r="E96" t="s">
        <v>53</v>
      </c>
      <c r="F96" t="str">
        <f t="shared" si="2"/>
        <v>149177 &amp; out of range &amp; 32.5 - 33.0 &amp; 29.0 - 29.5 &amp; 5.0 - 10.0</v>
      </c>
      <c r="G96" t="str">
        <f t="shared" si="3"/>
        <v>149177 &amp; out of range &amp; 32.5 - 33.0 &amp; 29.0 - 29.5 &amp; 5.0 - 10.0 \\ \hline</v>
      </c>
    </row>
    <row r="97" spans="1:7" hidden="1" x14ac:dyDescent="0.35">
      <c r="A97">
        <v>1</v>
      </c>
      <c r="B97" t="s">
        <v>45</v>
      </c>
      <c r="C97" t="s">
        <v>43</v>
      </c>
      <c r="D97" t="s">
        <v>44</v>
      </c>
      <c r="E97" t="s">
        <v>45</v>
      </c>
      <c r="F97" t="str">
        <f t="shared" si="2"/>
        <v>1 &amp; out of range &amp; 32.5 - 33.0 &amp; no data avail &amp; out of range</v>
      </c>
      <c r="G97" t="str">
        <f t="shared" si="3"/>
        <v>1 &amp; out of range &amp; 32.5 - 33.0 &amp; no data avail &amp; out of range \\ \hline</v>
      </c>
    </row>
    <row r="98" spans="1:7" hidden="1" x14ac:dyDescent="0.35">
      <c r="A98">
        <v>5</v>
      </c>
      <c r="B98" t="s">
        <v>45</v>
      </c>
      <c r="C98" t="s">
        <v>47</v>
      </c>
      <c r="D98" t="s">
        <v>57</v>
      </c>
      <c r="E98" t="s">
        <v>44</v>
      </c>
      <c r="F98" t="str">
        <f t="shared" si="2"/>
        <v>5 &amp; out of range &amp; 33.0 - 33.5 &amp; 27.5 - 28.0 &amp; no data avail</v>
      </c>
      <c r="G98" t="str">
        <f t="shared" si="3"/>
        <v>5 &amp; out of range &amp; 33.0 - 33.5 &amp; 27.5 - 28.0 &amp; no data avail \\ \hline</v>
      </c>
    </row>
    <row r="99" spans="1:7" hidden="1" x14ac:dyDescent="0.35">
      <c r="A99">
        <v>171</v>
      </c>
      <c r="B99" t="s">
        <v>45</v>
      </c>
      <c r="C99" t="s">
        <v>47</v>
      </c>
      <c r="D99" t="s">
        <v>48</v>
      </c>
      <c r="E99" t="s">
        <v>55</v>
      </c>
      <c r="F99" t="str">
        <f t="shared" si="2"/>
        <v>171 &amp; out of range &amp; 33.0 - 33.5 &amp; 28.5 - 29.0 &amp; 0.0 - 5.0</v>
      </c>
      <c r="G99" t="str">
        <f t="shared" si="3"/>
        <v>171 &amp; out of range &amp; 33.0 - 33.5 &amp; 28.5 - 29.0 &amp; 0.0 - 5.0 \\ \hline</v>
      </c>
    </row>
    <row r="100" spans="1:7" hidden="1" x14ac:dyDescent="0.35">
      <c r="A100">
        <v>7222</v>
      </c>
      <c r="B100" t="s">
        <v>45</v>
      </c>
      <c r="C100" t="s">
        <v>47</v>
      </c>
      <c r="D100" t="s">
        <v>48</v>
      </c>
      <c r="E100" t="s">
        <v>52</v>
      </c>
      <c r="F100" t="str">
        <f t="shared" si="2"/>
        <v>7222 &amp; out of range &amp; 33.0 - 33.5 &amp; 28.5 - 29.0 &amp; 10.0 - 15.0</v>
      </c>
      <c r="G100" t="str">
        <f t="shared" si="3"/>
        <v>7222 &amp; out of range &amp; 33.0 - 33.5 &amp; 28.5 - 29.0 &amp; 10.0 - 15.0 \\ \hline</v>
      </c>
    </row>
    <row r="101" spans="1:7" hidden="1" x14ac:dyDescent="0.35">
      <c r="A101">
        <v>5617</v>
      </c>
      <c r="B101" t="s">
        <v>45</v>
      </c>
      <c r="C101" t="s">
        <v>47</v>
      </c>
      <c r="D101" t="s">
        <v>48</v>
      </c>
      <c r="E101" t="s">
        <v>49</v>
      </c>
      <c r="F101" t="str">
        <f t="shared" si="2"/>
        <v>5617 &amp; out of range &amp; 33.0 - 33.5 &amp; 28.5 - 29.0 &amp; 15.0 - 20.0</v>
      </c>
      <c r="G101" t="str">
        <f t="shared" si="3"/>
        <v>5617 &amp; out of range &amp; 33.0 - 33.5 &amp; 28.5 - 29.0 &amp; 15.0 - 20.0 \\ \hline</v>
      </c>
    </row>
    <row r="102" spans="1:7" hidden="1" x14ac:dyDescent="0.35">
      <c r="A102">
        <v>9379</v>
      </c>
      <c r="B102" t="s">
        <v>45</v>
      </c>
      <c r="C102" t="s">
        <v>47</v>
      </c>
      <c r="D102" t="s">
        <v>48</v>
      </c>
      <c r="E102" t="s">
        <v>53</v>
      </c>
      <c r="F102" t="str">
        <f t="shared" si="2"/>
        <v>9379 &amp; out of range &amp; 33.0 - 33.5 &amp; 28.5 - 29.0 &amp; 5.0 - 10.0</v>
      </c>
      <c r="G102" t="str">
        <f t="shared" si="3"/>
        <v>9379 &amp; out of range &amp; 33.0 - 33.5 &amp; 28.5 - 29.0 &amp; 5.0 - 10.0 \\ \hline</v>
      </c>
    </row>
    <row r="103" spans="1:7" hidden="1" x14ac:dyDescent="0.35">
      <c r="A103">
        <v>1192</v>
      </c>
      <c r="B103" t="s">
        <v>45</v>
      </c>
      <c r="C103" t="s">
        <v>47</v>
      </c>
      <c r="D103" t="s">
        <v>48</v>
      </c>
      <c r="E103" t="s">
        <v>44</v>
      </c>
      <c r="F103" t="str">
        <f t="shared" si="2"/>
        <v>1192 &amp; out of range &amp; 33.0 - 33.5 &amp; 28.5 - 29.0 &amp; no data avail</v>
      </c>
      <c r="G103" t="str">
        <f t="shared" si="3"/>
        <v>1192 &amp; out of range &amp; 33.0 - 33.5 &amp; 28.5 - 29.0 &amp; no data avail \\ \hline</v>
      </c>
    </row>
    <row r="104" spans="1:7" hidden="1" x14ac:dyDescent="0.35">
      <c r="A104">
        <v>3407</v>
      </c>
      <c r="B104" t="s">
        <v>45</v>
      </c>
      <c r="C104" t="s">
        <v>47</v>
      </c>
      <c r="D104" t="s">
        <v>48</v>
      </c>
      <c r="E104" t="s">
        <v>45</v>
      </c>
      <c r="F104" t="str">
        <f t="shared" si="2"/>
        <v>3407 &amp; out of range &amp; 33.0 - 33.5 &amp; 28.5 - 29.0 &amp; out of range</v>
      </c>
      <c r="G104" t="str">
        <f t="shared" si="3"/>
        <v>3407 &amp; out of range &amp; 33.0 - 33.5 &amp; 28.5 - 29.0 &amp; out of range \\ \hline</v>
      </c>
    </row>
    <row r="105" spans="1:7" hidden="1" x14ac:dyDescent="0.35">
      <c r="A105">
        <v>405783</v>
      </c>
      <c r="B105" t="s">
        <v>45</v>
      </c>
      <c r="C105" t="s">
        <v>47</v>
      </c>
      <c r="D105" t="s">
        <v>54</v>
      </c>
      <c r="E105" t="s">
        <v>55</v>
      </c>
      <c r="F105" t="str">
        <f t="shared" si="2"/>
        <v>405783 &amp; out of range &amp; 33.0 - 33.5 &amp; 29.0 - 29.5 &amp; 0.0 - 5.0</v>
      </c>
      <c r="G105" t="str">
        <f t="shared" si="3"/>
        <v>405783 &amp; out of range &amp; 33.0 - 33.5 &amp; 29.0 - 29.5 &amp; 0.0 - 5.0 \\ \hline</v>
      </c>
    </row>
    <row r="106" spans="1:7" hidden="1" x14ac:dyDescent="0.35">
      <c r="A106">
        <v>5756</v>
      </c>
      <c r="B106" t="s">
        <v>45</v>
      </c>
      <c r="C106" t="s">
        <v>47</v>
      </c>
      <c r="D106" t="s">
        <v>54</v>
      </c>
      <c r="E106" t="s">
        <v>52</v>
      </c>
      <c r="F106" t="str">
        <f t="shared" si="2"/>
        <v>5756 &amp; out of range &amp; 33.0 - 33.5 &amp; 29.0 - 29.5 &amp; 10.0 - 15.0</v>
      </c>
      <c r="G106" t="str">
        <f t="shared" si="3"/>
        <v>5756 &amp; out of range &amp; 33.0 - 33.5 &amp; 29.0 - 29.5 &amp; 10.0 - 15.0 \\ \hline</v>
      </c>
    </row>
    <row r="107" spans="1:7" hidden="1" x14ac:dyDescent="0.35">
      <c r="A107">
        <v>908</v>
      </c>
      <c r="B107" t="s">
        <v>45</v>
      </c>
      <c r="C107" t="s">
        <v>47</v>
      </c>
      <c r="D107" t="s">
        <v>54</v>
      </c>
      <c r="E107" t="s">
        <v>49</v>
      </c>
      <c r="F107" t="str">
        <f t="shared" si="2"/>
        <v>908 &amp; out of range &amp; 33.0 - 33.5 &amp; 29.0 - 29.5 &amp; 15.0 - 20.0</v>
      </c>
      <c r="G107" t="str">
        <f t="shared" si="3"/>
        <v>908 &amp; out of range &amp; 33.0 - 33.5 &amp; 29.0 - 29.5 &amp; 15.0 - 20.0 \\ \hline</v>
      </c>
    </row>
    <row r="108" spans="1:7" hidden="1" x14ac:dyDescent="0.35">
      <c r="A108">
        <v>34588</v>
      </c>
      <c r="B108" t="s">
        <v>45</v>
      </c>
      <c r="C108" t="s">
        <v>47</v>
      </c>
      <c r="D108" t="s">
        <v>54</v>
      </c>
      <c r="E108" t="s">
        <v>53</v>
      </c>
      <c r="F108" t="str">
        <f t="shared" si="2"/>
        <v>34588 &amp; out of range &amp; 33.0 - 33.5 &amp; 29.0 - 29.5 &amp; 5.0 - 10.0</v>
      </c>
      <c r="G108" t="str">
        <f t="shared" si="3"/>
        <v>34588 &amp; out of range &amp; 33.0 - 33.5 &amp; 29.0 - 29.5 &amp; 5.0 - 10.0 \\ \hline</v>
      </c>
    </row>
    <row r="109" spans="1:7" hidden="1" x14ac:dyDescent="0.35">
      <c r="A109">
        <v>761</v>
      </c>
      <c r="B109" t="s">
        <v>45</v>
      </c>
      <c r="C109" t="s">
        <v>47</v>
      </c>
      <c r="D109" t="s">
        <v>54</v>
      </c>
      <c r="E109" t="s">
        <v>44</v>
      </c>
      <c r="F109" t="str">
        <f t="shared" si="2"/>
        <v>761 &amp; out of range &amp; 33.0 - 33.5 &amp; 29.0 - 29.5 &amp; no data avail</v>
      </c>
      <c r="G109" t="str">
        <f t="shared" si="3"/>
        <v>761 &amp; out of range &amp; 33.0 - 33.5 &amp; 29.0 - 29.5 &amp; no data avail \\ \hline</v>
      </c>
    </row>
    <row r="110" spans="1:7" hidden="1" x14ac:dyDescent="0.35">
      <c r="A110">
        <v>1762</v>
      </c>
      <c r="B110" t="s">
        <v>45</v>
      </c>
      <c r="C110" t="s">
        <v>47</v>
      </c>
      <c r="D110" t="s">
        <v>54</v>
      </c>
      <c r="E110" t="s">
        <v>45</v>
      </c>
      <c r="F110" t="str">
        <f t="shared" si="2"/>
        <v>1762 &amp; out of range &amp; 33.0 - 33.5 &amp; 29.0 - 29.5 &amp; out of range</v>
      </c>
      <c r="G110" t="str">
        <f t="shared" si="3"/>
        <v>1762 &amp; out of range &amp; 33.0 - 33.5 &amp; 29.0 - 29.5 &amp; out of range \\ \hline</v>
      </c>
    </row>
    <row r="111" spans="1:7" hidden="1" x14ac:dyDescent="0.35">
      <c r="A111">
        <v>1</v>
      </c>
      <c r="B111" t="s">
        <v>45</v>
      </c>
      <c r="C111" t="s">
        <v>47</v>
      </c>
      <c r="D111" t="s">
        <v>44</v>
      </c>
      <c r="E111" t="s">
        <v>45</v>
      </c>
      <c r="F111" t="str">
        <f t="shared" si="2"/>
        <v>1 &amp; out of range &amp; 33.0 - 33.5 &amp; no data avail &amp; out of range</v>
      </c>
      <c r="G111" t="str">
        <f t="shared" si="3"/>
        <v>1 &amp; out of range &amp; 33.0 - 33.5 &amp; no data avail &amp; out of range \\ \hline</v>
      </c>
    </row>
    <row r="112" spans="1:7" hidden="1" x14ac:dyDescent="0.35">
      <c r="A112">
        <v>9</v>
      </c>
      <c r="B112" t="s">
        <v>45</v>
      </c>
      <c r="C112" t="s">
        <v>44</v>
      </c>
      <c r="D112" t="s">
        <v>44</v>
      </c>
      <c r="E112" t="s">
        <v>44</v>
      </c>
      <c r="F112" t="str">
        <f t="shared" si="2"/>
        <v>9 &amp; out of range &amp; no data avail &amp; no data avail &amp; no data avail</v>
      </c>
      <c r="G112" t="str">
        <f t="shared" si="3"/>
        <v>9 &amp; out of range &amp; no data avail &amp; no data avail &amp; no data avail \\ \hline</v>
      </c>
    </row>
    <row r="113" spans="1:7" hidden="1" x14ac:dyDescent="0.35">
      <c r="A113">
        <v>4</v>
      </c>
      <c r="B113" t="s">
        <v>45</v>
      </c>
      <c r="C113" t="s">
        <v>44</v>
      </c>
      <c r="D113" t="s">
        <v>44</v>
      </c>
      <c r="E113" t="s">
        <v>45</v>
      </c>
      <c r="F113" t="str">
        <f t="shared" si="2"/>
        <v>4 &amp; out of range &amp; no data avail &amp; no data avail &amp; out of range</v>
      </c>
      <c r="G113" t="str">
        <f t="shared" si="3"/>
        <v>4 &amp; out of range &amp; no data avail &amp; no data avail &amp; out of range \\ \hline</v>
      </c>
    </row>
  </sheetData>
  <autoFilter ref="A1:E113" xr:uid="{E4101675-F8C6-4F2A-9939-5B0E7F233008}">
    <filterColumn colId="1">
      <filters>
        <filter val="4.0 - 4.5"/>
        <filter val="4.5 - 5.0"/>
        <filter val="5.0 - 5.5"/>
        <filter val="5.5 - 6.0"/>
        <filter val="6.0 - 6.5"/>
        <filter val="6.5 - 7.0"/>
        <filter val="7.0 - 7.5"/>
        <filter val="7.5 - 8.0"/>
      </filters>
    </filterColumn>
    <filterColumn colId="2">
      <filters>
        <filter val="32.5 - 33.0"/>
        <filter val="33.0 - 33.5"/>
      </filters>
    </filterColumn>
    <filterColumn colId="3">
      <filters>
        <filter val="27.5 - 28.0"/>
        <filter val="28.5 - 29.0"/>
        <filter val="29.0 - 29.5"/>
      </filters>
    </filterColumn>
    <filterColumn colId="4">
      <filters>
        <filter val="0.0 - 5.0"/>
        <filter val="10.0 - 15.0"/>
        <filter val="15.0 - 20.0"/>
        <filter val="5.0 - 10.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depth</vt:lpstr>
      <vt:lpstr>seaweed</vt:lpstr>
      <vt:lpstr>reef</vt:lpstr>
      <vt:lpstr>nori10_freq2</vt:lpstr>
      <vt:lpstr>nori35_freq2</vt:lpstr>
      <vt:lpstr>reef10_freq</vt:lpstr>
      <vt:lpstr>reef35_freq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Tasya</dc:creator>
  <cp:lastModifiedBy>TIFFANY TASYA AGATHA SIMANJUNTAK</cp:lastModifiedBy>
  <dcterms:created xsi:type="dcterms:W3CDTF">2026-05-23T12:58:17Z</dcterms:created>
  <dcterms:modified xsi:type="dcterms:W3CDTF">2026-06-02T11:40:30Z</dcterms:modified>
</cp:coreProperties>
</file>